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jasonbartz/Downloads/"/>
    </mc:Choice>
  </mc:AlternateContent>
  <xr:revisionPtr revIDLastSave="0" documentId="13_ncr:1_{304DA7CC-186F-104C-B816-22B8A8D611AF}" xr6:coauthVersionLast="47" xr6:coauthVersionMax="47" xr10:uidLastSave="{00000000-0000-0000-0000-000000000000}"/>
  <bookViews>
    <workbookView xWindow="0" yWindow="620" windowWidth="30640" windowHeight="23880" xr2:uid="{00000000-000D-0000-FFFF-FFFF00000000}"/>
  </bookViews>
  <sheets>
    <sheet name="Stats" sheetId="27" r:id="rId1"/>
    <sheet name="Turnips" sheetId="1" r:id="rId2"/>
    <sheet name="Furniture" sheetId="7" r:id="rId3"/>
    <sheet name="Wallpapers" sheetId="15" r:id="rId4"/>
    <sheet name="Carpets" sheetId="16" r:id="rId5"/>
    <sheet name="Tops" sheetId="20" r:id="rId6"/>
    <sheet name="Bottoms" sheetId="21" r:id="rId7"/>
    <sheet name="Dresses" sheetId="22" r:id="rId8"/>
    <sheet name="Hats" sheetId="23" r:id="rId9"/>
    <sheet name="Accessories" sheetId="24" r:id="rId10"/>
    <sheet name="Footwear" sheetId="25" r:id="rId11"/>
    <sheet name="Umbrellas" sheetId="26" r:id="rId12"/>
    <sheet name="Paper" sheetId="19" r:id="rId13"/>
    <sheet name="Songs" sheetId="17" r:id="rId14"/>
    <sheet name="Gyroids" sheetId="14" r:id="rId15"/>
    <sheet name="Fossils" sheetId="11" r:id="rId16"/>
    <sheet name="Bugs" sheetId="3" r:id="rId17"/>
    <sheet name="Fish" sheetId="4" r:id="rId18"/>
    <sheet name="Seafood" sheetId="13" r:id="rId19"/>
    <sheet name="Paintings" sheetId="12" r:id="rId20"/>
    <sheet name="Emotions" sheetId="6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7" l="1"/>
  <c r="D33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B43" i="27" l="1"/>
  <c r="C43" i="27"/>
  <c r="D43" i="27"/>
  <c r="F43" i="27"/>
  <c r="G43" i="27"/>
  <c r="B44" i="27"/>
  <c r="C44" i="27"/>
  <c r="D44" i="27"/>
  <c r="F44" i="27"/>
  <c r="G44" i="27"/>
  <c r="B45" i="27"/>
  <c r="C45" i="27"/>
  <c r="D45" i="27"/>
  <c r="F45" i="27"/>
  <c r="G45" i="27"/>
  <c r="B46" i="27"/>
  <c r="C46" i="27"/>
  <c r="D46" i="27"/>
  <c r="F46" i="27"/>
  <c r="G46" i="27"/>
  <c r="B47" i="27"/>
  <c r="C47" i="27"/>
  <c r="D47" i="27"/>
  <c r="F47" i="27"/>
  <c r="G47" i="27"/>
  <c r="B48" i="27"/>
  <c r="C48" i="27"/>
  <c r="D48" i="27"/>
  <c r="F48" i="27"/>
  <c r="G48" i="27"/>
  <c r="B49" i="27"/>
  <c r="C49" i="27"/>
  <c r="D49" i="27"/>
  <c r="F49" i="27"/>
  <c r="G49" i="27"/>
  <c r="B50" i="27"/>
  <c r="C50" i="27"/>
  <c r="D50" i="27"/>
  <c r="F50" i="27"/>
  <c r="G50" i="27"/>
  <c r="B51" i="27"/>
  <c r="C51" i="27"/>
  <c r="D51" i="27"/>
  <c r="F51" i="27"/>
  <c r="G51" i="27"/>
  <c r="B52" i="27"/>
  <c r="C52" i="27"/>
  <c r="D52" i="27"/>
  <c r="F52" i="27"/>
  <c r="G52" i="27"/>
  <c r="B53" i="27"/>
  <c r="C53" i="27"/>
  <c r="D53" i="27"/>
  <c r="F53" i="27"/>
  <c r="G53" i="27"/>
  <c r="B54" i="27"/>
  <c r="C54" i="27"/>
  <c r="D54" i="27"/>
  <c r="F54" i="27"/>
  <c r="G54" i="27"/>
  <c r="D28" i="27" l="1"/>
  <c r="C28" i="27"/>
  <c r="B28" i="27" s="1"/>
  <c r="C13" i="27"/>
  <c r="C12" i="27"/>
  <c r="C11" i="27"/>
  <c r="C10" i="27"/>
  <c r="C9" i="27"/>
  <c r="C8" i="27"/>
  <c r="C7" i="27"/>
  <c r="C6" i="27"/>
  <c r="C5" i="27"/>
  <c r="C4" i="27"/>
  <c r="C3" i="27"/>
  <c r="C2" i="27"/>
  <c r="D2" i="27"/>
  <c r="D4" i="27"/>
  <c r="D6" i="27"/>
  <c r="D12" i="27"/>
  <c r="D10" i="27"/>
  <c r="D8" i="27"/>
  <c r="D38" i="27"/>
  <c r="C38" i="27"/>
  <c r="D35" i="27"/>
  <c r="C35" i="27"/>
  <c r="D34" i="27"/>
  <c r="C34" i="27"/>
  <c r="D32" i="27"/>
  <c r="C32" i="27"/>
  <c r="D31" i="27"/>
  <c r="C31" i="27"/>
  <c r="D27" i="27"/>
  <c r="D26" i="27"/>
  <c r="D24" i="27"/>
  <c r="D25" i="27"/>
  <c r="D23" i="27"/>
  <c r="D22" i="27"/>
  <c r="D21" i="27"/>
  <c r="D20" i="27"/>
  <c r="D19" i="27"/>
  <c r="D18" i="27"/>
  <c r="D17" i="27"/>
  <c r="C22" i="27"/>
  <c r="B22" i="27" s="1"/>
  <c r="C21" i="27"/>
  <c r="B21" i="27" s="1"/>
  <c r="C27" i="27"/>
  <c r="C26" i="27"/>
  <c r="E26" i="27" s="1"/>
  <c r="C25" i="27"/>
  <c r="B25" i="27" s="1"/>
  <c r="C24" i="27"/>
  <c r="C23" i="27"/>
  <c r="C20" i="27"/>
  <c r="C19" i="27"/>
  <c r="C18" i="27"/>
  <c r="C17" i="27"/>
  <c r="D16" i="27"/>
  <c r="C16" i="27"/>
  <c r="B24" i="27" l="1"/>
  <c r="E25" i="27"/>
  <c r="E21" i="27"/>
  <c r="E16" i="27"/>
  <c r="E20" i="27"/>
  <c r="B31" i="27"/>
  <c r="E32" i="27"/>
  <c r="E33" i="27"/>
  <c r="E34" i="27"/>
  <c r="E17" i="27"/>
  <c r="E24" i="27"/>
  <c r="B17" i="27"/>
  <c r="E22" i="27"/>
  <c r="B26" i="27"/>
  <c r="B32" i="27"/>
  <c r="B16" i="27"/>
  <c r="E18" i="27"/>
  <c r="B20" i="27"/>
  <c r="B19" i="27"/>
  <c r="B23" i="27"/>
  <c r="B27" i="27"/>
  <c r="E31" i="27"/>
  <c r="B33" i="27"/>
  <c r="B34" i="27"/>
  <c r="B35" i="27"/>
  <c r="E28" i="27"/>
  <c r="E27" i="27"/>
  <c r="E23" i="27"/>
  <c r="E19" i="27"/>
  <c r="E35" i="27"/>
  <c r="E38" i="27"/>
  <c r="B18" i="27"/>
  <c r="B38" i="27"/>
  <c r="R3" i="1" l="1"/>
  <c r="Q3" i="1"/>
  <c r="Q2" i="1"/>
  <c r="R2" i="1"/>
</calcChain>
</file>

<file path=xl/sharedStrings.xml><?xml version="1.0" encoding="utf-8"?>
<sst xmlns="http://schemas.openxmlformats.org/spreadsheetml/2006/main" count="4909" uniqueCount="3360">
  <si>
    <t>Average turnip prices</t>
  </si>
  <si>
    <t>Month-exclusive species counter</t>
  </si>
  <si>
    <t>Monday</t>
  </si>
  <si>
    <t>a.m.</t>
  </si>
  <si>
    <t>p.m.</t>
  </si>
  <si>
    <t>Tuesday</t>
  </si>
  <si>
    <t>Wednesday</t>
  </si>
  <si>
    <t>Thursday</t>
  </si>
  <si>
    <t>Friday</t>
  </si>
  <si>
    <t>Saturday</t>
  </si>
  <si>
    <t>Catalog</t>
  </si>
  <si>
    <t>Progress</t>
  </si>
  <si>
    <t>Catalogued</t>
  </si>
  <si>
    <t>Total</t>
  </si>
  <si>
    <t>Remaining</t>
  </si>
  <si>
    <t>Furniture</t>
  </si>
  <si>
    <t>Wallpapers</t>
  </si>
  <si>
    <t>Carpets</t>
  </si>
  <si>
    <t>Tops</t>
  </si>
  <si>
    <t>Bottoms</t>
  </si>
  <si>
    <t>Dresses</t>
  </si>
  <si>
    <t>Hats</t>
  </si>
  <si>
    <t>Accessories</t>
  </si>
  <si>
    <t>Footwear</t>
  </si>
  <si>
    <t>Umbrellas</t>
  </si>
  <si>
    <t>Paper</t>
  </si>
  <si>
    <t>Songs</t>
  </si>
  <si>
    <t>Gyroids</t>
  </si>
  <si>
    <t>Museum</t>
  </si>
  <si>
    <t>Donated</t>
  </si>
  <si>
    <t>Fossils</t>
  </si>
  <si>
    <t>Bugs</t>
  </si>
  <si>
    <t>Fish</t>
  </si>
  <si>
    <t>Seafood</t>
  </si>
  <si>
    <t>Paintings</t>
  </si>
  <si>
    <t>Emotions</t>
  </si>
  <si>
    <t>Learned</t>
  </si>
  <si>
    <t>Outgoing</t>
  </si>
  <si>
    <t>New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</si>
  <si>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</si>
  <si>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</si>
  <si>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</si>
  <si>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</si>
  <si>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</si>
  <si>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</si>
  <si>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</si>
  <si>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</si>
  <si>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</si>
  <si>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</si>
  <si>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</si>
  <si>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</si>
  <si>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Price</t>
  </si>
  <si>
    <t>Day</t>
  </si>
  <si>
    <t>Time</t>
  </si>
  <si>
    <t>Catalogued?</t>
  </si>
  <si>
    <t>Name</t>
  </si>
  <si>
    <t xml:space="preserve">? Block </t>
  </si>
  <si>
    <t xml:space="preserve">1-Up Mushroom </t>
  </si>
  <si>
    <t xml:space="preserve">24-hour-shop counter </t>
  </si>
  <si>
    <t xml:space="preserve">24-hour-shop model </t>
  </si>
  <si>
    <t xml:space="preserve">24-hour-shop sign </t>
  </si>
  <si>
    <t xml:space="preserve">Afternoon-tea set </t>
  </si>
  <si>
    <t xml:space="preserve">Air conditioner </t>
  </si>
  <si>
    <t xml:space="preserve">Alarm clock </t>
  </si>
  <si>
    <t xml:space="preserve">Aloe </t>
  </si>
  <si>
    <t xml:space="preserve">Alpine bed </t>
  </si>
  <si>
    <t xml:space="preserve">Alpine chair </t>
  </si>
  <si>
    <t xml:space="preserve">Alpine closet </t>
  </si>
  <si>
    <t xml:space="preserve">Alpine dresser </t>
  </si>
  <si>
    <t xml:space="preserve">Alpine kitchen cart </t>
  </si>
  <si>
    <t xml:space="preserve">Alpine lamp </t>
  </si>
  <si>
    <t xml:space="preserve">Alpine low table </t>
  </si>
  <si>
    <t xml:space="preserve">Alpine panel </t>
  </si>
  <si>
    <t xml:space="preserve">Alpine shelf </t>
  </si>
  <si>
    <t xml:space="preserve">Alpine sofa </t>
  </si>
  <si>
    <t xml:space="preserve">Aluminum briefcase </t>
  </si>
  <si>
    <t xml:space="preserve">Amazing machine </t>
  </si>
  <si>
    <t xml:space="preserve">Amp </t>
  </si>
  <si>
    <t xml:space="preserve">Anatomical model </t>
  </si>
  <si>
    <t xml:space="preserve">Anchor </t>
  </si>
  <si>
    <t xml:space="preserve">Antique clock </t>
  </si>
  <si>
    <t xml:space="preserve">Aquarius urn </t>
  </si>
  <si>
    <t xml:space="preserve">Arc de Triomphe </t>
  </si>
  <si>
    <t xml:space="preserve">Arcade machine </t>
  </si>
  <si>
    <t xml:space="preserve">Aries rocking chair </t>
  </si>
  <si>
    <t xml:space="preserve">Aroma pot </t>
  </si>
  <si>
    <t xml:space="preserve">Arrow sign </t>
  </si>
  <si>
    <t xml:space="preserve">Arwing </t>
  </si>
  <si>
    <t xml:space="preserve">Asteroid </t>
  </si>
  <si>
    <t xml:space="preserve">Astro bed </t>
  </si>
  <si>
    <t xml:space="preserve">Astro CD player </t>
  </si>
  <si>
    <t xml:space="preserve">Astro chair </t>
  </si>
  <si>
    <t xml:space="preserve">Astro clock </t>
  </si>
  <si>
    <t xml:space="preserve">Astro closet </t>
  </si>
  <si>
    <t xml:space="preserve">Astro dresser </t>
  </si>
  <si>
    <t xml:space="preserve">Astro lamp </t>
  </si>
  <si>
    <t xml:space="preserve">Astro shelf </t>
  </si>
  <si>
    <t xml:space="preserve">Astro sofa </t>
  </si>
  <si>
    <t xml:space="preserve">Astro table </t>
  </si>
  <si>
    <t xml:space="preserve">Astro TV </t>
  </si>
  <si>
    <t xml:space="preserve">Aurora screen </t>
  </si>
  <si>
    <t xml:space="preserve">Automatic washer </t>
  </si>
  <si>
    <t xml:space="preserve">Autumn-leaf chair </t>
  </si>
  <si>
    <t xml:space="preserve">Ayers Rock </t>
  </si>
  <si>
    <t xml:space="preserve">Azalea bonsai </t>
  </si>
  <si>
    <t xml:space="preserve">Azalea stool </t>
  </si>
  <si>
    <t xml:space="preserve">Baby bear </t>
  </si>
  <si>
    <t xml:space="preserve">Baby bed </t>
  </si>
  <si>
    <t xml:space="preserve">Baby panda </t>
  </si>
  <si>
    <t xml:space="preserve">Backpack </t>
  </si>
  <si>
    <t xml:space="preserve">Backyard pool </t>
  </si>
  <si>
    <t xml:space="preserve">Bagpipes </t>
  </si>
  <si>
    <t xml:space="preserve">Ball catcher </t>
  </si>
  <si>
    <t xml:space="preserve">Ball return </t>
  </si>
  <si>
    <t xml:space="preserve">Balloon bed </t>
  </si>
  <si>
    <t xml:space="preserve">Balloon chair </t>
  </si>
  <si>
    <t xml:space="preserve">Balloon clock </t>
  </si>
  <si>
    <t xml:space="preserve">Balloon closet </t>
  </si>
  <si>
    <t xml:space="preserve">Balloon dresser </t>
  </si>
  <si>
    <t xml:space="preserve">Balloon lamp </t>
  </si>
  <si>
    <t xml:space="preserve">Balloon sofa </t>
  </si>
  <si>
    <t xml:space="preserve">Balloon table </t>
  </si>
  <si>
    <t xml:space="preserve">Balloon TV </t>
  </si>
  <si>
    <t xml:space="preserve">Balloon vanity </t>
  </si>
  <si>
    <t xml:space="preserve">Bamboo grass </t>
  </si>
  <si>
    <t xml:space="preserve">Barbecue </t>
  </si>
  <si>
    <t xml:space="preserve">Barbecue bed </t>
  </si>
  <si>
    <t xml:space="preserve">Barber's pole </t>
  </si>
  <si>
    <t xml:space="preserve">Barrel </t>
  </si>
  <si>
    <t xml:space="preserve">Basketball hoop </t>
  </si>
  <si>
    <t xml:space="preserve">Bass </t>
  </si>
  <si>
    <t xml:space="preserve">Bath mat </t>
  </si>
  <si>
    <t xml:space="preserve">Bathroom sink </t>
  </si>
  <si>
    <t xml:space="preserve">Bathroom stall </t>
  </si>
  <si>
    <t xml:space="preserve">Bathtub </t>
  </si>
  <si>
    <t xml:space="preserve">Beach chair </t>
  </si>
  <si>
    <t xml:space="preserve">Beach table </t>
  </si>
  <si>
    <t xml:space="preserve">Beacon fire </t>
  </si>
  <si>
    <t xml:space="preserve">Bear pole </t>
  </si>
  <si>
    <t xml:space="preserve">Beetle chair </t>
  </si>
  <si>
    <t xml:space="preserve">Bell knickknack </t>
  </si>
  <si>
    <t xml:space="preserve">Bellpoint </t>
  </si>
  <si>
    <t xml:space="preserve">Berliner </t>
  </si>
  <si>
    <t xml:space="preserve">Big Ben </t>
  </si>
  <si>
    <t xml:space="preserve">Big festive tree </t>
  </si>
  <si>
    <t xml:space="preserve">Bilboquet </t>
  </si>
  <si>
    <t xml:space="preserve">Bill Blaster </t>
  </si>
  <si>
    <t xml:space="preserve">Billiard table </t>
  </si>
  <si>
    <t xml:space="preserve">Bingo wheel </t>
  </si>
  <si>
    <t xml:space="preserve">Bird feeder </t>
  </si>
  <si>
    <t xml:space="preserve">Birdbath </t>
  </si>
  <si>
    <t xml:space="preserve">Birdcage </t>
  </si>
  <si>
    <t xml:space="preserve">Birdhouse </t>
  </si>
  <si>
    <t xml:space="preserve">Birthday cake </t>
  </si>
  <si>
    <t xml:space="preserve">Birthday candles </t>
  </si>
  <si>
    <t xml:space="preserve">Birthday sign </t>
  </si>
  <si>
    <t xml:space="preserve">Birthday table </t>
  </si>
  <si>
    <t xml:space="preserve">Bishop </t>
  </si>
  <si>
    <t xml:space="preserve">Biwa lute </t>
  </si>
  <si>
    <t xml:space="preserve">Black katana </t>
  </si>
  <si>
    <t xml:space="preserve">Block </t>
  </si>
  <si>
    <t xml:space="preserve">Blossom lantern </t>
  </si>
  <si>
    <t xml:space="preserve">Blue bed </t>
  </si>
  <si>
    <t xml:space="preserve">Blue bench </t>
  </si>
  <si>
    <t xml:space="preserve">Blue bookcase </t>
  </si>
  <si>
    <t xml:space="preserve">Blue bureau </t>
  </si>
  <si>
    <t xml:space="preserve">Blue cabinet </t>
  </si>
  <si>
    <t xml:space="preserve">Blue certificate </t>
  </si>
  <si>
    <t xml:space="preserve">Blue chair </t>
  </si>
  <si>
    <t xml:space="preserve">Blue clock </t>
  </si>
  <si>
    <t xml:space="preserve">Blue corner </t>
  </si>
  <si>
    <t xml:space="preserve">Blue dresser </t>
  </si>
  <si>
    <t xml:space="preserve">Blue Falcon </t>
  </si>
  <si>
    <t xml:space="preserve">Blue table </t>
  </si>
  <si>
    <t xml:space="preserve">Blue vase </t>
  </si>
  <si>
    <t xml:space="preserve">Blue wall shelf </t>
  </si>
  <si>
    <t xml:space="preserve">Blue wardrobe </t>
  </si>
  <si>
    <t xml:space="preserve">Board game piece </t>
  </si>
  <si>
    <t xml:space="preserve">Bobsled </t>
  </si>
  <si>
    <t xml:space="preserve">Bonfire </t>
  </si>
  <si>
    <t xml:space="preserve">Boomerang </t>
  </si>
  <si>
    <t xml:space="preserve">Bottled ship </t>
  </si>
  <si>
    <t xml:space="preserve">Bow </t>
  </si>
  <si>
    <t xml:space="preserve">Bowling pins </t>
  </si>
  <si>
    <t xml:space="preserve">Box corner sofa </t>
  </si>
  <si>
    <t xml:space="preserve">Box of chocolates </t>
  </si>
  <si>
    <t xml:space="preserve">Box of tissues </t>
  </si>
  <si>
    <t xml:space="preserve">Box sofa </t>
  </si>
  <si>
    <t xml:space="preserve">Boxed figurine </t>
  </si>
  <si>
    <t xml:space="preserve">Boxing barricade </t>
  </si>
  <si>
    <t xml:space="preserve">Boxing mat </t>
  </si>
  <si>
    <t xml:space="preserve">Bread box </t>
  </si>
  <si>
    <t xml:space="preserve">Breaker </t>
  </si>
  <si>
    <t xml:space="preserve">Broken post </t>
  </si>
  <si>
    <t xml:space="preserve">Bromeliaceae </t>
  </si>
  <si>
    <t xml:space="preserve">Bronze bug trophy </t>
  </si>
  <si>
    <t xml:space="preserve">Bronze fish trophy </t>
  </si>
  <si>
    <t xml:space="preserve">Brown pot </t>
  </si>
  <si>
    <t xml:space="preserve">Bucket </t>
  </si>
  <si>
    <t xml:space="preserve">Buffet server </t>
  </si>
  <si>
    <t xml:space="preserve">Bug zapper </t>
  </si>
  <si>
    <t xml:space="preserve">Bunk bed </t>
  </si>
  <si>
    <t xml:space="preserve">Bureom </t>
  </si>
  <si>
    <t xml:space="preserve">Butterfly machine </t>
  </si>
  <si>
    <t xml:space="preserve">Cabana armchair </t>
  </si>
  <si>
    <t xml:space="preserve">Cabana bed </t>
  </si>
  <si>
    <t xml:space="preserve">Cabana bookcase </t>
  </si>
  <si>
    <t xml:space="preserve">Cabana chair </t>
  </si>
  <si>
    <t xml:space="preserve">Cabana dresser </t>
  </si>
  <si>
    <t xml:space="preserve">Cabana lamp </t>
  </si>
  <si>
    <t xml:space="preserve">Cabana screen </t>
  </si>
  <si>
    <t xml:space="preserve">Cabana table </t>
  </si>
  <si>
    <t xml:space="preserve">Cabana vanity </t>
  </si>
  <si>
    <t xml:space="preserve">Cabana wall radio </t>
  </si>
  <si>
    <t xml:space="preserve">Cabana wardrobe </t>
  </si>
  <si>
    <t xml:space="preserve">Cabin armchair </t>
  </si>
  <si>
    <t xml:space="preserve">Cabin bed </t>
  </si>
  <si>
    <t xml:space="preserve">Cabin bookcase </t>
  </si>
  <si>
    <t xml:space="preserve">Cabin chair </t>
  </si>
  <si>
    <t xml:space="preserve">Cabin clock </t>
  </si>
  <si>
    <t xml:space="preserve">Cabin couch </t>
  </si>
  <si>
    <t xml:space="preserve">Cabin dresser </t>
  </si>
  <si>
    <t xml:space="preserve">Cabin low table </t>
  </si>
  <si>
    <t xml:space="preserve">Cabin table </t>
  </si>
  <si>
    <t xml:space="preserve">Cabin wall clock </t>
  </si>
  <si>
    <t xml:space="preserve">Cabin wardrobe </t>
  </si>
  <si>
    <t xml:space="preserve">Cacao tree </t>
  </si>
  <si>
    <t xml:space="preserve">Cactus </t>
  </si>
  <si>
    <t xml:space="preserve">Caladium </t>
  </si>
  <si>
    <t xml:space="preserve">Camp stove </t>
  </si>
  <si>
    <t xml:space="preserve">Campfire </t>
  </si>
  <si>
    <t xml:space="preserve">Campfire cookware </t>
  </si>
  <si>
    <t xml:space="preserve">Cancer table </t>
  </si>
  <si>
    <t xml:space="preserve">Candle </t>
  </si>
  <si>
    <t xml:space="preserve">Candy jar </t>
  </si>
  <si>
    <t xml:space="preserve">Candy machine </t>
  </si>
  <si>
    <t xml:space="preserve">Capricorn ornament </t>
  </si>
  <si>
    <t xml:space="preserve">Capsule-toy machine </t>
  </si>
  <si>
    <t xml:space="preserve">Captain's monitor </t>
  </si>
  <si>
    <t xml:space="preserve">Card bed </t>
  </si>
  <si>
    <t xml:space="preserve">Card chair </t>
  </si>
  <si>
    <t xml:space="preserve">Card closet </t>
  </si>
  <si>
    <t xml:space="preserve">Card dresser </t>
  </si>
  <si>
    <t xml:space="preserve">Card lamp </t>
  </si>
  <si>
    <t xml:space="preserve">Card screen </t>
  </si>
  <si>
    <t xml:space="preserve">Card shelf </t>
  </si>
  <si>
    <t xml:space="preserve">Card sofa </t>
  </si>
  <si>
    <t xml:space="preserve">Card table </t>
  </si>
  <si>
    <t xml:space="preserve">Card tower </t>
  </si>
  <si>
    <t xml:space="preserve">Card wall clock </t>
  </si>
  <si>
    <t xml:space="preserve">Cardboard bed </t>
  </si>
  <si>
    <t xml:space="preserve">Cardboard box </t>
  </si>
  <si>
    <t xml:space="preserve">Cardboard chair </t>
  </si>
  <si>
    <t xml:space="preserve">Cardboard closet </t>
  </si>
  <si>
    <t xml:space="preserve">Cardboard sofa </t>
  </si>
  <si>
    <t xml:space="preserve">Cardboard table </t>
  </si>
  <si>
    <t xml:space="preserve">Carp banner </t>
  </si>
  <si>
    <t xml:space="preserve">Cash register </t>
  </si>
  <si>
    <t xml:space="preserve">Cassette player </t>
  </si>
  <si>
    <t xml:space="preserve">Cat tower </t>
  </si>
  <si>
    <t xml:space="preserve">Caterpillar sofa </t>
  </si>
  <si>
    <t xml:space="preserve">CD player </t>
  </si>
  <si>
    <t xml:space="preserve">CD shelf </t>
  </si>
  <si>
    <t xml:space="preserve">Cello </t>
  </si>
  <si>
    <t xml:space="preserve">Cement mixer </t>
  </si>
  <si>
    <t xml:space="preserve">Ceramic hot pot </t>
  </si>
  <si>
    <t xml:space="preserve">Chaise lounge </t>
  </si>
  <si>
    <t xml:space="preserve">Chalkboard </t>
  </si>
  <si>
    <t xml:space="preserve">Checkout counter </t>
  </si>
  <si>
    <t xml:space="preserve">Cherry-blossom clock </t>
  </si>
  <si>
    <t xml:space="preserve">Chocolate cake </t>
  </si>
  <si>
    <t xml:space="preserve">Chocolate fountain </t>
  </si>
  <si>
    <t xml:space="preserve">Cicada stereo </t>
  </si>
  <si>
    <t xml:space="preserve">Circle banner </t>
  </si>
  <si>
    <t xml:space="preserve">Clackercart </t>
  </si>
  <si>
    <t xml:space="preserve">Classic bed </t>
  </si>
  <si>
    <t xml:space="preserve">Classic bookcase </t>
  </si>
  <si>
    <t xml:space="preserve">Classic buffet </t>
  </si>
  <si>
    <t xml:space="preserve">Classic chair </t>
  </si>
  <si>
    <t xml:space="preserve">Classic clock </t>
  </si>
  <si>
    <t xml:space="preserve">Classic desk </t>
  </si>
  <si>
    <t xml:space="preserve">Classic sofa </t>
  </si>
  <si>
    <t xml:space="preserve">Classic table </t>
  </si>
  <si>
    <t xml:space="preserve">Classic vanity </t>
  </si>
  <si>
    <t xml:space="preserve">Classic wall shelf </t>
  </si>
  <si>
    <t xml:space="preserve">Classic wardrobe </t>
  </si>
  <si>
    <t xml:space="preserve">Claw-foot tub </t>
  </si>
  <si>
    <t xml:space="preserve">Clay furnace </t>
  </si>
  <si>
    <t xml:space="preserve">Clear model </t>
  </si>
  <si>
    <t xml:space="preserve">Clothes closet </t>
  </si>
  <si>
    <t xml:space="preserve">Clothesline pole </t>
  </si>
  <si>
    <t xml:space="preserve">Coat hanger </t>
  </si>
  <si>
    <t xml:space="preserve">Coconut palm </t>
  </si>
  <si>
    <t xml:space="preserve">Coffee cup </t>
  </si>
  <si>
    <t xml:space="preserve">Coffee grinder </t>
  </si>
  <si>
    <t xml:space="preserve">Coffeemaker </t>
  </si>
  <si>
    <t xml:space="preserve">Coin </t>
  </si>
  <si>
    <t xml:space="preserve">Colorful wheel </t>
  </si>
  <si>
    <t xml:space="preserve">Common bed </t>
  </si>
  <si>
    <t xml:space="preserve">Common chair </t>
  </si>
  <si>
    <t xml:space="preserve">Compass </t>
  </si>
  <si>
    <t xml:space="preserve">Complex machine </t>
  </si>
  <si>
    <t xml:space="preserve">Computer </t>
  </si>
  <si>
    <t xml:space="preserve">Computer desk </t>
  </si>
  <si>
    <t xml:space="preserve">Conga drum </t>
  </si>
  <si>
    <t xml:space="preserve">Conveyor-belt sushi </t>
  </si>
  <si>
    <t xml:space="preserve">Cool globe </t>
  </si>
  <si>
    <t xml:space="preserve">Copy machine </t>
  </si>
  <si>
    <t xml:space="preserve">Corinthian post </t>
  </si>
  <si>
    <t xml:space="preserve">Corkboard </t>
  </si>
  <si>
    <t xml:space="preserve">Corn plant </t>
  </si>
  <si>
    <t xml:space="preserve">Cornucopia </t>
  </si>
  <si>
    <t xml:space="preserve">Cosmos fan </t>
  </si>
  <si>
    <t xml:space="preserve">Country guitar </t>
  </si>
  <si>
    <t xml:space="preserve">Covered wagon </t>
  </si>
  <si>
    <t xml:space="preserve">Cow skull </t>
  </si>
  <si>
    <t xml:space="preserve">Crab clock </t>
  </si>
  <si>
    <t xml:space="preserve">Cradle </t>
  </si>
  <si>
    <t xml:space="preserve">Crane game </t>
  </si>
  <si>
    <t xml:space="preserve">Cream and sugar </t>
  </si>
  <si>
    <t xml:space="preserve">Cream sofa </t>
  </si>
  <si>
    <t xml:space="preserve">Creepy bat stone </t>
  </si>
  <si>
    <t xml:space="preserve">Creepy cauldron </t>
  </si>
  <si>
    <t xml:space="preserve">Creepy clock </t>
  </si>
  <si>
    <t xml:space="preserve">Creepy coffin </t>
  </si>
  <si>
    <t xml:space="preserve">Creepy crystal </t>
  </si>
  <si>
    <t xml:space="preserve">Creepy skeleton </t>
  </si>
  <si>
    <t xml:space="preserve">Creepy statue </t>
  </si>
  <si>
    <t xml:space="preserve">Creepy stone </t>
  </si>
  <si>
    <t xml:space="preserve">Crew member's seat </t>
  </si>
  <si>
    <t xml:space="preserve">Crew's monitor </t>
  </si>
  <si>
    <t xml:space="preserve">Croton </t>
  </si>
  <si>
    <t xml:space="preserve">Cubbyhole </t>
  </si>
  <si>
    <t xml:space="preserve">Cube clock </t>
  </si>
  <si>
    <t xml:space="preserve">Cuckoo clock </t>
  </si>
  <si>
    <t xml:space="preserve">Cucumber horse </t>
  </si>
  <si>
    <t xml:space="preserve">Cupid bench </t>
  </si>
  <si>
    <t xml:space="preserve">Curling stone </t>
  </si>
  <si>
    <t xml:space="preserve">Cushion </t>
  </si>
  <si>
    <t xml:space="preserve">Dab table </t>
  </si>
  <si>
    <t xml:space="preserve">Daffodil </t>
  </si>
  <si>
    <t xml:space="preserve">Dala horse </t>
  </si>
  <si>
    <t xml:space="preserve">Dango </t>
  </si>
  <si>
    <t xml:space="preserve">Dartboard </t>
  </si>
  <si>
    <t xml:space="preserve">Deer scare </t>
  </si>
  <si>
    <t xml:space="preserve">Deluxe range </t>
  </si>
  <si>
    <t xml:space="preserve">Deluxe washer </t>
  </si>
  <si>
    <t xml:space="preserve">Dentist's chair </t>
  </si>
  <si>
    <t xml:space="preserve">Desert cactus </t>
  </si>
  <si>
    <t xml:space="preserve">Desk light </t>
  </si>
  <si>
    <t xml:space="preserve">Dessert case </t>
  </si>
  <si>
    <t xml:space="preserve">Detour arrow </t>
  </si>
  <si>
    <t xml:space="preserve">Dharma </t>
  </si>
  <si>
    <t xml:space="preserve">Dice stereo </t>
  </si>
  <si>
    <t xml:space="preserve">Digital-photo frame </t>
  </si>
  <si>
    <t xml:space="preserve">Director's chair </t>
  </si>
  <si>
    <t xml:space="preserve">Dishwasher </t>
  </si>
  <si>
    <t xml:space="preserve">Display shelf </t>
  </si>
  <si>
    <t xml:space="preserve">Display stand </t>
  </si>
  <si>
    <t xml:space="preserve">Diver Dan </t>
  </si>
  <si>
    <t xml:space="preserve">DJ's turntable </t>
  </si>
  <si>
    <t xml:space="preserve">Djimbe drum </t>
  </si>
  <si>
    <t xml:space="preserve">Dog lamp </t>
  </si>
  <si>
    <t xml:space="preserve">Doghouse </t>
  </si>
  <si>
    <t xml:space="preserve">Dollhouse </t>
  </si>
  <si>
    <t xml:space="preserve">Dolly </t>
  </si>
  <si>
    <t xml:space="preserve">Donut stool </t>
  </si>
  <si>
    <t xml:space="preserve">Double-neck guitar </t>
  </si>
  <si>
    <t xml:space="preserve">Dracaena </t>
  </si>
  <si>
    <t xml:space="preserve">Dream catcher </t>
  </si>
  <si>
    <t xml:space="preserve">Drinking fountain </t>
  </si>
  <si>
    <t xml:space="preserve">Drip pail </t>
  </si>
  <si>
    <t xml:space="preserve">Drum set </t>
  </si>
  <si>
    <t xml:space="preserve">Eagle pole </t>
  </si>
  <si>
    <t xml:space="preserve">Ebony piano </t>
  </si>
  <si>
    <t xml:space="preserve">Editor's chair </t>
  </si>
  <si>
    <t xml:space="preserve">Editor's desk </t>
  </si>
  <si>
    <t xml:space="preserve">Effects rack </t>
  </si>
  <si>
    <t xml:space="preserve">Egg basket </t>
  </si>
  <si>
    <t xml:space="preserve">Egg bed </t>
  </si>
  <si>
    <t xml:space="preserve">Egg bench </t>
  </si>
  <si>
    <t xml:space="preserve">Egg chair </t>
  </si>
  <si>
    <t xml:space="preserve">Egg clock </t>
  </si>
  <si>
    <t xml:space="preserve">Egg dresser </t>
  </si>
  <si>
    <t xml:space="preserve">Egg lamp </t>
  </si>
  <si>
    <t xml:space="preserve">Egg stereo </t>
  </si>
  <si>
    <t xml:space="preserve">Egg table </t>
  </si>
  <si>
    <t xml:space="preserve">Egg toy set </t>
  </si>
  <si>
    <t xml:space="preserve">Egg TV </t>
  </si>
  <si>
    <t xml:space="preserve">Egg wardrobe </t>
  </si>
  <si>
    <t xml:space="preserve">Eggplant cow </t>
  </si>
  <si>
    <t xml:space="preserve">Eiffel Tower </t>
  </si>
  <si>
    <t xml:space="preserve">Eight lamp </t>
  </si>
  <si>
    <t xml:space="preserve">Elder mask </t>
  </si>
  <si>
    <t xml:space="preserve">Electric guitar </t>
  </si>
  <si>
    <t xml:space="preserve">Electric kettle </t>
  </si>
  <si>
    <t xml:space="preserve">Elephant slide </t>
  </si>
  <si>
    <t xml:space="preserve">Eraser sofa </t>
  </si>
  <si>
    <t xml:space="preserve">Espresso maker </t>
  </si>
  <si>
    <t xml:space="preserve">Executive toy </t>
  </si>
  <si>
    <t xml:space="preserve">Exercise bike </t>
  </si>
  <si>
    <t xml:space="preserve">Exhibit partition </t>
  </si>
  <si>
    <t xml:space="preserve">Exit sign </t>
  </si>
  <si>
    <t xml:space="preserve">Exotic bed </t>
  </si>
  <si>
    <t xml:space="preserve">Exotic bench </t>
  </si>
  <si>
    <t xml:space="preserve">Exotic bureau </t>
  </si>
  <si>
    <t xml:space="preserve">Exotic chair </t>
  </si>
  <si>
    <t xml:space="preserve">Exotic chest </t>
  </si>
  <si>
    <t xml:space="preserve">Exotic end table </t>
  </si>
  <si>
    <t xml:space="preserve">Exotic lamp </t>
  </si>
  <si>
    <t xml:space="preserve">Exotic screen </t>
  </si>
  <si>
    <t xml:space="preserve">Exotic table </t>
  </si>
  <si>
    <t xml:space="preserve">Exotic wall shelf </t>
  </si>
  <si>
    <t xml:space="preserve">Exotic wardrobe </t>
  </si>
  <si>
    <t xml:space="preserve">Extinguisher </t>
  </si>
  <si>
    <t xml:space="preserve">Fan </t>
  </si>
  <si>
    <t xml:space="preserve">Fan palm </t>
  </si>
  <si>
    <t xml:space="preserve">Fancy doll </t>
  </si>
  <si>
    <t xml:space="preserve">Fancy frame </t>
  </si>
  <si>
    <t xml:space="preserve">Fedora chair </t>
  </si>
  <si>
    <t xml:space="preserve">Female mask </t>
  </si>
  <si>
    <t xml:space="preserve">Festival lantern </t>
  </si>
  <si>
    <t xml:space="preserve">Festive candle </t>
  </si>
  <si>
    <t xml:space="preserve">Festive flag </t>
  </si>
  <si>
    <t xml:space="preserve">Festive tree </t>
  </si>
  <si>
    <t xml:space="preserve">Festive wreath </t>
  </si>
  <si>
    <t xml:space="preserve">Fire Bar </t>
  </si>
  <si>
    <t xml:space="preserve">Fire Flower </t>
  </si>
  <si>
    <t xml:space="preserve">Fire hydrant </t>
  </si>
  <si>
    <t xml:space="preserve">Firefly lamp </t>
  </si>
  <si>
    <t xml:space="preserve">Fireplace </t>
  </si>
  <si>
    <t xml:space="preserve">Fireworks table </t>
  </si>
  <si>
    <t xml:space="preserve">Fish grill </t>
  </si>
  <si>
    <t xml:space="preserve">Five lamp </t>
  </si>
  <si>
    <t xml:space="preserve">Flashy-flower sign </t>
  </si>
  <si>
    <t xml:space="preserve">Flat display case </t>
  </si>
  <si>
    <t xml:space="preserve">Flat-screen TV </t>
  </si>
  <si>
    <t xml:space="preserve">Florence flask </t>
  </si>
  <si>
    <t xml:space="preserve">Flounder table </t>
  </si>
  <si>
    <t xml:space="preserve">Flower bouquet </t>
  </si>
  <si>
    <t xml:space="preserve">Flower chair </t>
  </si>
  <si>
    <t xml:space="preserve">Flower table </t>
  </si>
  <si>
    <t xml:space="preserve">Flying saucer </t>
  </si>
  <si>
    <t xml:space="preserve">Folding chair </t>
  </si>
  <si>
    <t xml:space="preserve">Folk guitar </t>
  </si>
  <si>
    <t xml:space="preserve">Foosball table </t>
  </si>
  <si>
    <t xml:space="preserve">Football-fish lamp </t>
  </si>
  <si>
    <t xml:space="preserve">Four lamp </t>
  </si>
  <si>
    <t xml:space="preserve">Freezer </t>
  </si>
  <si>
    <t xml:space="preserve">Froggy chair </t>
  </si>
  <si>
    <t xml:space="preserve">Frog-woman pole </t>
  </si>
  <si>
    <t xml:space="preserve">Fruit basket </t>
  </si>
  <si>
    <t xml:space="preserve">Full-moon vanity </t>
  </si>
  <si>
    <t xml:space="preserve">Game shelf </t>
  </si>
  <si>
    <t xml:space="preserve">Game-show stand </t>
  </si>
  <si>
    <t xml:space="preserve">Garbage can </t>
  </si>
  <si>
    <t xml:space="preserve">Garbage pail </t>
  </si>
  <si>
    <t xml:space="preserve">Garden gnome </t>
  </si>
  <si>
    <t xml:space="preserve">Gas pump </t>
  </si>
  <si>
    <t xml:space="preserve">Gaudí's lizard </t>
  </si>
  <si>
    <t xml:space="preserve">Gemini closet </t>
  </si>
  <si>
    <t xml:space="preserve">General's fan </t>
  </si>
  <si>
    <t xml:space="preserve">General's stool </t>
  </si>
  <si>
    <t xml:space="preserve">Genie's lamp </t>
  </si>
  <si>
    <t xml:space="preserve">Gerbera </t>
  </si>
  <si>
    <t xml:space="preserve">Giant dharma </t>
  </si>
  <si>
    <t xml:space="preserve">Giraffe ruler </t>
  </si>
  <si>
    <t xml:space="preserve">Glass display case </t>
  </si>
  <si>
    <t xml:space="preserve">Glass-top table </t>
  </si>
  <si>
    <t xml:space="preserve">Globe </t>
  </si>
  <si>
    <t xml:space="preserve">Go board </t>
  </si>
  <si>
    <t xml:space="preserve">Goal Pole </t>
  </si>
  <si>
    <t xml:space="preserve">Gold bug trophy </t>
  </si>
  <si>
    <t xml:space="preserve">Gold fish trophy </t>
  </si>
  <si>
    <t xml:space="preserve">Gold HHA plaque </t>
  </si>
  <si>
    <t xml:space="preserve">Gold HHA trophy </t>
  </si>
  <si>
    <t xml:space="preserve">Gold house model </t>
  </si>
  <si>
    <t xml:space="preserve">Gold stereo </t>
  </si>
  <si>
    <t xml:space="preserve">Golden bed </t>
  </si>
  <si>
    <t xml:space="preserve">Golden bench </t>
  </si>
  <si>
    <t xml:space="preserve">Golden chair </t>
  </si>
  <si>
    <t xml:space="preserve">Golden clock </t>
  </si>
  <si>
    <t xml:space="preserve">Golden closet </t>
  </si>
  <si>
    <t xml:space="preserve">Golden dresser </t>
  </si>
  <si>
    <t xml:space="preserve">Golden man </t>
  </si>
  <si>
    <t xml:space="preserve">Golden screen </t>
  </si>
  <si>
    <t xml:space="preserve">Golden table </t>
  </si>
  <si>
    <t xml:space="preserve">Golden wall torch </t>
  </si>
  <si>
    <t xml:space="preserve">Golden woman </t>
  </si>
  <si>
    <t xml:space="preserve">Golf bag </t>
  </si>
  <si>
    <t xml:space="preserve">Gorgeous bed </t>
  </si>
  <si>
    <t xml:space="preserve">Gorgeous chest </t>
  </si>
  <si>
    <t xml:space="preserve">Gorgeous closet </t>
  </si>
  <si>
    <t xml:space="preserve">Gorgeous counter </t>
  </si>
  <si>
    <t xml:space="preserve">Gorgeous desk </t>
  </si>
  <si>
    <t xml:space="preserve">Gorgeous lamp </t>
  </si>
  <si>
    <t xml:space="preserve">Gorgeous seat </t>
  </si>
  <si>
    <t xml:space="preserve">Gorgeous sofa </t>
  </si>
  <si>
    <t xml:space="preserve">Gorgeous stool </t>
  </si>
  <si>
    <t xml:space="preserve">Gorgeous table </t>
  </si>
  <si>
    <t xml:space="preserve">Gorgeous wall clock </t>
  </si>
  <si>
    <t xml:space="preserve">Gracie bed </t>
  </si>
  <si>
    <t xml:space="preserve">Gracie bench </t>
  </si>
  <si>
    <t xml:space="preserve">Gracie chair </t>
  </si>
  <si>
    <t xml:space="preserve">Gracie chest </t>
  </si>
  <si>
    <t xml:space="preserve">Gracie desk </t>
  </si>
  <si>
    <t xml:space="preserve">Gracie lamp </t>
  </si>
  <si>
    <t xml:space="preserve">Gracie low table </t>
  </si>
  <si>
    <t xml:space="preserve">Gracie shelf </t>
  </si>
  <si>
    <t xml:space="preserve">Gracie wagon </t>
  </si>
  <si>
    <t xml:space="preserve">Gracie wall clock </t>
  </si>
  <si>
    <t xml:space="preserve">Gracie wardrobe </t>
  </si>
  <si>
    <t xml:space="preserve">Grapefruit table </t>
  </si>
  <si>
    <t xml:space="preserve">Grass standee </t>
  </si>
  <si>
    <t xml:space="preserve">Green bed </t>
  </si>
  <si>
    <t xml:space="preserve">Green bench </t>
  </si>
  <si>
    <t xml:space="preserve">Green chair </t>
  </si>
  <si>
    <t xml:space="preserve">Green counter </t>
  </si>
  <si>
    <t xml:space="preserve">Green desk </t>
  </si>
  <si>
    <t xml:space="preserve">Green dresser </t>
  </si>
  <si>
    <t xml:space="preserve">Green lamp </t>
  </si>
  <si>
    <t xml:space="preserve">Green pantry </t>
  </si>
  <si>
    <t xml:space="preserve">Green Shell </t>
  </si>
  <si>
    <t xml:space="preserve">Green table </t>
  </si>
  <si>
    <t xml:space="preserve">Green wall clock </t>
  </si>
  <si>
    <t xml:space="preserve">Green wardrobe </t>
  </si>
  <si>
    <t xml:space="preserve">Hagoita </t>
  </si>
  <si>
    <t xml:space="preserve">Hammock </t>
  </si>
  <si>
    <t xml:space="preserve">Hamster cage </t>
  </si>
  <si>
    <t xml:space="preserve">Handcart </t>
  </si>
  <si>
    <t xml:space="preserve">Harp </t>
  </si>
  <si>
    <t xml:space="preserve">Harpsichord </t>
  </si>
  <si>
    <t xml:space="preserve">Harvest bed </t>
  </si>
  <si>
    <t xml:space="preserve">Harvest bureau </t>
  </si>
  <si>
    <t xml:space="preserve">Harvest chair </t>
  </si>
  <si>
    <t xml:space="preserve">Harvest clock </t>
  </si>
  <si>
    <t xml:space="preserve">Harvest dresser </t>
  </si>
  <si>
    <t xml:space="preserve">Harvest lamp </t>
  </si>
  <si>
    <t xml:space="preserve">Harvest mirror </t>
  </si>
  <si>
    <t xml:space="preserve">Harvest sofa </t>
  </si>
  <si>
    <t xml:space="preserve">Harvest table </t>
  </si>
  <si>
    <t xml:space="preserve">Harvest TV </t>
  </si>
  <si>
    <t xml:space="preserve">Harvest wall lamp </t>
  </si>
  <si>
    <t xml:space="preserve">Hawthorn bonsai </t>
  </si>
  <si>
    <t xml:space="preserve">Hearth </t>
  </si>
  <si>
    <t xml:space="preserve">Hedge standee </t>
  </si>
  <si>
    <t xml:space="preserve">Helm </t>
  </si>
  <si>
    <t xml:space="preserve">HHA pennant </t>
  </si>
  <si>
    <t xml:space="preserve">Hibachi </t>
  </si>
  <si>
    <t xml:space="preserve">Hibiscus </t>
  </si>
  <si>
    <t xml:space="preserve">Hibiscus clock </t>
  </si>
  <si>
    <t xml:space="preserve">Hi-fi stereo </t>
  </si>
  <si>
    <t xml:space="preserve">High-end stereo </t>
  </si>
  <si>
    <t xml:space="preserve">High-jump mat </t>
  </si>
  <si>
    <t xml:space="preserve">Hinaningyo </t>
  </si>
  <si>
    <t xml:space="preserve">Holiday candle </t>
  </si>
  <si>
    <t xml:space="preserve">Holiday stocking </t>
  </si>
  <si>
    <t xml:space="preserve">Holly bonsai </t>
  </si>
  <si>
    <t xml:space="preserve">Hologram machine </t>
  </si>
  <si>
    <t xml:space="preserve">Home-computer rack </t>
  </si>
  <si>
    <t xml:space="preserve">Homework set </t>
  </si>
  <si>
    <t xml:space="preserve">Honeybee chest </t>
  </si>
  <si>
    <t xml:space="preserve">Hospital bed </t>
  </si>
  <si>
    <t xml:space="preserve">Hospital screen </t>
  </si>
  <si>
    <t xml:space="preserve">Hospital TV </t>
  </si>
  <si>
    <t xml:space="preserve">Hot plate </t>
  </si>
  <si>
    <t xml:space="preserve">Hourglass </t>
  </si>
  <si>
    <t xml:space="preserve">Hula doll </t>
  </si>
  <si>
    <t xml:space="preserve">Humidifier </t>
  </si>
  <si>
    <t xml:space="preserve">Hurdle </t>
  </si>
  <si>
    <t xml:space="preserve">Hydrangea bed </t>
  </si>
  <si>
    <t xml:space="preserve">Ice bed </t>
  </si>
  <si>
    <t xml:space="preserve">Ice chair </t>
  </si>
  <si>
    <t xml:space="preserve">Ice clock </t>
  </si>
  <si>
    <t xml:space="preserve">Ice closet </t>
  </si>
  <si>
    <t xml:space="preserve">Ice dresser </t>
  </si>
  <si>
    <t xml:space="preserve">Ice lamp </t>
  </si>
  <si>
    <t xml:space="preserve">Ice shelf </t>
  </si>
  <si>
    <t xml:space="preserve">Ice side table </t>
  </si>
  <si>
    <t xml:space="preserve">Ice sofa </t>
  </si>
  <si>
    <t xml:space="preserve">Ice table </t>
  </si>
  <si>
    <t xml:space="preserve">Ice vanity </t>
  </si>
  <si>
    <t xml:space="preserve">Ice-cream case </t>
  </si>
  <si>
    <t xml:space="preserve">Incense burner </t>
  </si>
  <si>
    <t xml:space="preserve">In-store Bellpoint </t>
  </si>
  <si>
    <t xml:space="preserve">Ionian post </t>
  </si>
  <si>
    <t xml:space="preserve">Iron frame </t>
  </si>
  <si>
    <t xml:space="preserve">Ironing set </t>
  </si>
  <si>
    <t xml:space="preserve">IV drip </t>
  </si>
  <si>
    <t xml:space="preserve">Jackhammer </t>
  </si>
  <si>
    <t xml:space="preserve">Jack-in-the-box </t>
  </si>
  <si>
    <t xml:space="preserve">Jasmine bonsai </t>
  </si>
  <si>
    <t xml:space="preserve">Jellyfish lamp </t>
  </si>
  <si>
    <t xml:space="preserve">Jingle bed </t>
  </si>
  <si>
    <t xml:space="preserve">Jingle chair </t>
  </si>
  <si>
    <t xml:space="preserve">Jingle clock </t>
  </si>
  <si>
    <t xml:space="preserve">Jingle dresser </t>
  </si>
  <si>
    <t xml:space="preserve">Jingle lamp </t>
  </si>
  <si>
    <t xml:space="preserve">Jingle piano </t>
  </si>
  <si>
    <t xml:space="preserve">Jingle shelves </t>
  </si>
  <si>
    <t xml:space="preserve">Jingle sofa </t>
  </si>
  <si>
    <t xml:space="preserve">Jingle table </t>
  </si>
  <si>
    <t xml:space="preserve">Jingle TV </t>
  </si>
  <si>
    <t xml:space="preserve">Jingle wardrobe </t>
  </si>
  <si>
    <t xml:space="preserve">Jolly Roger </t>
  </si>
  <si>
    <t xml:space="preserve">Jomon pottery </t>
  </si>
  <si>
    <t xml:space="preserve">Judge's bell </t>
  </si>
  <si>
    <t xml:space="preserve">Juicy-apple clock </t>
  </si>
  <si>
    <t xml:space="preserve">Juicy-apple TV </t>
  </si>
  <si>
    <t xml:space="preserve">Jukebox </t>
  </si>
  <si>
    <t xml:space="preserve">Kadomatsu </t>
  </si>
  <si>
    <t xml:space="preserve">Kagamimochi </t>
  </si>
  <si>
    <t xml:space="preserve">Karaoke system </t>
  </si>
  <si>
    <t xml:space="preserve">Kart </t>
  </si>
  <si>
    <t xml:space="preserve">Kayak </t>
  </si>
  <si>
    <t xml:space="preserve">Keg </t>
  </si>
  <si>
    <t xml:space="preserve">Kettle </t>
  </si>
  <si>
    <t xml:space="preserve">Kiddie bed </t>
  </si>
  <si>
    <t xml:space="preserve">Kiddie bookcase </t>
  </si>
  <si>
    <t xml:space="preserve">Kiddie bureau </t>
  </si>
  <si>
    <t xml:space="preserve">Kiddie chair </t>
  </si>
  <si>
    <t xml:space="preserve">Kiddie clock </t>
  </si>
  <si>
    <t xml:space="preserve">Kiddie couch </t>
  </si>
  <si>
    <t xml:space="preserve">Kiddie dresser </t>
  </si>
  <si>
    <t xml:space="preserve">Kiddie stereo </t>
  </si>
  <si>
    <t xml:space="preserve">Kiddie table </t>
  </si>
  <si>
    <t xml:space="preserve">Kiddie wall clock </t>
  </si>
  <si>
    <t xml:space="preserve">Kiddie wardrobe </t>
  </si>
  <si>
    <t xml:space="preserve">Kimbap plate </t>
  </si>
  <si>
    <t xml:space="preserve">Kinderdijk windmill </t>
  </si>
  <si>
    <t xml:space="preserve">King </t>
  </si>
  <si>
    <t xml:space="preserve">Kitchen corner </t>
  </si>
  <si>
    <t xml:space="preserve">Kitchen island </t>
  </si>
  <si>
    <t xml:space="preserve">Kitchen scale </t>
  </si>
  <si>
    <t xml:space="preserve">Kitchen sink </t>
  </si>
  <si>
    <t xml:space="preserve">Kitschy clock </t>
  </si>
  <si>
    <t xml:space="preserve">Kiwi stool </t>
  </si>
  <si>
    <t xml:space="preserve">Knight </t>
  </si>
  <si>
    <t xml:space="preserve">Kokeshi doll </t>
  </si>
  <si>
    <t xml:space="preserve">Kotatsu </t>
  </si>
  <si>
    <t xml:space="preserve">Lab bench </t>
  </si>
  <si>
    <t xml:space="preserve">Lab chair </t>
  </si>
  <si>
    <t xml:space="preserve">Lady palm </t>
  </si>
  <si>
    <t xml:space="preserve">Ladybug chair </t>
  </si>
  <si>
    <t xml:space="preserve">Lantern </t>
  </si>
  <si>
    <t xml:space="preserve">Laptop </t>
  </si>
  <si>
    <t xml:space="preserve">Large alpine table </t>
  </si>
  <si>
    <t xml:space="preserve">Large bookshelf </t>
  </si>
  <si>
    <t xml:space="preserve">Large magazine rack </t>
  </si>
  <si>
    <t xml:space="preserve">Large space console </t>
  </si>
  <si>
    <t xml:space="preserve">Lat pulldown machine </t>
  </si>
  <si>
    <t xml:space="preserve">Lava lamp </t>
  </si>
  <si>
    <t xml:space="preserve">Lawn chair </t>
  </si>
  <si>
    <t xml:space="preserve">Lawn mower </t>
  </si>
  <si>
    <t xml:space="preserve">Lazy-Susan table </t>
  </si>
  <si>
    <t xml:space="preserve">Leaf bed </t>
  </si>
  <si>
    <t xml:space="preserve">LED display </t>
  </si>
  <si>
    <t xml:space="preserve">Left platform </t>
  </si>
  <si>
    <t xml:space="preserve">Lefty desk </t>
  </si>
  <si>
    <t xml:space="preserve">Lefty lucky cat </t>
  </si>
  <si>
    <t xml:space="preserve">Lemon table </t>
  </si>
  <si>
    <t xml:space="preserve">Leo sculpture </t>
  </si>
  <si>
    <t xml:space="preserve">Letter set </t>
  </si>
  <si>
    <t xml:space="preserve">Libra scale </t>
  </si>
  <si>
    <t xml:space="preserve">Life preserver </t>
  </si>
  <si>
    <t xml:space="preserve">Life ring </t>
  </si>
  <si>
    <t xml:space="preserve">Lift chair </t>
  </si>
  <si>
    <t xml:space="preserve">Lily lamp </t>
  </si>
  <si>
    <t xml:space="preserve">Lily record player </t>
  </si>
  <si>
    <t xml:space="preserve">Lily-pad table </t>
  </si>
  <si>
    <t xml:space="preserve">Loom </t>
  </si>
  <si>
    <t xml:space="preserve">Lotus lamp </t>
  </si>
  <si>
    <t xml:space="preserve">Love tester </t>
  </si>
  <si>
    <t xml:space="preserve">Lovely armoire </t>
  </si>
  <si>
    <t xml:space="preserve">Lovely bed </t>
  </si>
  <si>
    <t xml:space="preserve">Lovely chair </t>
  </si>
  <si>
    <t xml:space="preserve">Lovely doll </t>
  </si>
  <si>
    <t xml:space="preserve">Lovely dresser </t>
  </si>
  <si>
    <t xml:space="preserve">Lovely end table </t>
  </si>
  <si>
    <t xml:space="preserve">Lovely kitchen </t>
  </si>
  <si>
    <t xml:space="preserve">Lovely lamp </t>
  </si>
  <si>
    <t xml:space="preserve">Lovely love seat </t>
  </si>
  <si>
    <t xml:space="preserve">Lovely phone </t>
  </si>
  <si>
    <t xml:space="preserve">Lovely table </t>
  </si>
  <si>
    <t xml:space="preserve">Lovely vanity </t>
  </si>
  <si>
    <t xml:space="preserve">Lovely wall clock </t>
  </si>
  <si>
    <t xml:space="preserve">Low screen </t>
  </si>
  <si>
    <t xml:space="preserve">Lucky black cat </t>
  </si>
  <si>
    <t xml:space="preserve">Lucky cat </t>
  </si>
  <si>
    <t xml:space="preserve">Lucky frog </t>
  </si>
  <si>
    <t xml:space="preserve">Lucky gold cat </t>
  </si>
  <si>
    <t xml:space="preserve">Lunar lander </t>
  </si>
  <si>
    <t xml:space="preserve">Lunar rover </t>
  </si>
  <si>
    <t xml:space="preserve">Lunch tray </t>
  </si>
  <si>
    <t xml:space="preserve">Mahjong table </t>
  </si>
  <si>
    <t xml:space="preserve">Makeup case </t>
  </si>
  <si>
    <t xml:space="preserve">Mama bear </t>
  </si>
  <si>
    <t xml:space="preserve">Mama panda </t>
  </si>
  <si>
    <t xml:space="preserve">Mama polar bear </t>
  </si>
  <si>
    <t xml:space="preserve">Manhole cover </t>
  </si>
  <si>
    <t xml:space="preserve">Manneken Pis </t>
  </si>
  <si>
    <t xml:space="preserve">Maple bonsai </t>
  </si>
  <si>
    <t xml:space="preserve">Marshmallow chair </t>
  </si>
  <si>
    <t xml:space="preserve">Massage chair </t>
  </si>
  <si>
    <t xml:space="preserve">Master Sword </t>
  </si>
  <si>
    <t xml:space="preserve">Matryoshka </t>
  </si>
  <si>
    <t xml:space="preserve">Medicine chest </t>
  </si>
  <si>
    <t xml:space="preserve">Men's toilet </t>
  </si>
  <si>
    <t xml:space="preserve">Merlion </t>
  </si>
  <si>
    <t xml:space="preserve">Mermaid bed </t>
  </si>
  <si>
    <t xml:space="preserve">Mermaid chair </t>
  </si>
  <si>
    <t xml:space="preserve">Mermaid clock </t>
  </si>
  <si>
    <t xml:space="preserve">Mermaid closet </t>
  </si>
  <si>
    <t xml:space="preserve">Mermaid dresser </t>
  </si>
  <si>
    <t xml:space="preserve">Mermaid lamp </t>
  </si>
  <si>
    <t xml:space="preserve">Mermaid screen </t>
  </si>
  <si>
    <t xml:space="preserve">Mermaid shelf </t>
  </si>
  <si>
    <t xml:space="preserve">Mermaid sofa </t>
  </si>
  <si>
    <t xml:space="preserve">Mermaid statue </t>
  </si>
  <si>
    <t xml:space="preserve">Mermaid table </t>
  </si>
  <si>
    <t xml:space="preserve">Mermaid vanity </t>
  </si>
  <si>
    <t xml:space="preserve">Merry-go-round </t>
  </si>
  <si>
    <t xml:space="preserve">Metal guitar </t>
  </si>
  <si>
    <t xml:space="preserve">Metroid </t>
  </si>
  <si>
    <t xml:space="preserve">Metronome </t>
  </si>
  <si>
    <t xml:space="preserve">Mic stand </t>
  </si>
  <si>
    <t xml:space="preserve">Microscope </t>
  </si>
  <si>
    <t xml:space="preserve">Microwave </t>
  </si>
  <si>
    <t xml:space="preserve">Milk can </t>
  </si>
  <si>
    <t xml:space="preserve">Milk case </t>
  </si>
  <si>
    <t xml:space="preserve">Mini butterfly table </t>
  </si>
  <si>
    <t xml:space="preserve">Mini cactus </t>
  </si>
  <si>
    <t xml:space="preserve">Mini circuit </t>
  </si>
  <si>
    <t xml:space="preserve">Mini dharma </t>
  </si>
  <si>
    <t xml:space="preserve">Mini lamp </t>
  </si>
  <si>
    <t xml:space="preserve">Miniature car </t>
  </si>
  <si>
    <t xml:space="preserve">Minimalist bed </t>
  </si>
  <si>
    <t xml:space="preserve">Minimalist chair </t>
  </si>
  <si>
    <t xml:space="preserve">Minimalist clock </t>
  </si>
  <si>
    <t xml:space="preserve">Minimalist dresser </t>
  </si>
  <si>
    <t xml:space="preserve">Minimalist lamp </t>
  </si>
  <si>
    <t xml:space="preserve">Minimalist minitable </t>
  </si>
  <si>
    <t xml:space="preserve">Minimalist ottoman </t>
  </si>
  <si>
    <t xml:space="preserve">Minimalist sofa </t>
  </si>
  <si>
    <t xml:space="preserve">Minimalist table </t>
  </si>
  <si>
    <t xml:space="preserve">Minimalist vanity </t>
  </si>
  <si>
    <t xml:space="preserve">Minimalist wardrobe </t>
  </si>
  <si>
    <t xml:space="preserve">Mixer </t>
  </si>
  <si>
    <t xml:space="preserve">Moai statue </t>
  </si>
  <si>
    <t xml:space="preserve">Mobile </t>
  </si>
  <si>
    <t xml:space="preserve">Mochi pestle </t>
  </si>
  <si>
    <t xml:space="preserve">Modern bed </t>
  </si>
  <si>
    <t xml:space="preserve">Modern cabinet </t>
  </si>
  <si>
    <t xml:space="preserve">Modern chair </t>
  </si>
  <si>
    <t xml:space="preserve">Modern desk </t>
  </si>
  <si>
    <t xml:space="preserve">Modern dresser </t>
  </si>
  <si>
    <t xml:space="preserve">Modern end table </t>
  </si>
  <si>
    <t xml:space="preserve">Modern lamp </t>
  </si>
  <si>
    <t xml:space="preserve">Modern sofa </t>
  </si>
  <si>
    <t xml:space="preserve">Modern table </t>
  </si>
  <si>
    <t xml:space="preserve">Modern wall clock </t>
  </si>
  <si>
    <t xml:space="preserve">Modern wardrobe </t>
  </si>
  <si>
    <t xml:space="preserve">Modern wood bed </t>
  </si>
  <si>
    <t xml:space="preserve">Modern wood chair </t>
  </si>
  <si>
    <t xml:space="preserve">Modern wood chest </t>
  </si>
  <si>
    <t xml:space="preserve">Modern wood clock </t>
  </si>
  <si>
    <t xml:space="preserve">Modern wood closet </t>
  </si>
  <si>
    <t xml:space="preserve">Modern wood lamp </t>
  </si>
  <si>
    <t xml:space="preserve">Modern wood shelf </t>
  </si>
  <si>
    <t xml:space="preserve">Modern wood sofa </t>
  </si>
  <si>
    <t xml:space="preserve">Modern wood stool </t>
  </si>
  <si>
    <t xml:space="preserve">Modern wood table </t>
  </si>
  <si>
    <t xml:space="preserve">Modern wood TV </t>
  </si>
  <si>
    <t xml:space="preserve">Moon </t>
  </si>
  <si>
    <t xml:space="preserve">Mop </t>
  </si>
  <si>
    <t xml:space="preserve">Morning glory </t>
  </si>
  <si>
    <t xml:space="preserve">Moth orchid </t>
  </si>
  <si>
    <t xml:space="preserve">Mountain bike </t>
  </si>
  <si>
    <t xml:space="preserve">Mountain standee </t>
  </si>
  <si>
    <t xml:space="preserve">Mouth of Truth </t>
  </si>
  <si>
    <t xml:space="preserve">Mr. Flamingo </t>
  </si>
  <si>
    <t xml:space="preserve">Mrs. Flamingo </t>
  </si>
  <si>
    <t xml:space="preserve">Mugho bonsai </t>
  </si>
  <si>
    <t xml:space="preserve">Mummy's casket </t>
  </si>
  <si>
    <t xml:space="preserve">Museum chair </t>
  </si>
  <si>
    <t xml:space="preserve">Museum model </t>
  </si>
  <si>
    <t xml:space="preserve">Mush bed </t>
  </si>
  <si>
    <t xml:space="preserve">Mush chair </t>
  </si>
  <si>
    <t xml:space="preserve">Mush closet </t>
  </si>
  <si>
    <t xml:space="preserve">Mush dresser </t>
  </si>
  <si>
    <t xml:space="preserve">Mush end table </t>
  </si>
  <si>
    <t xml:space="preserve">Mush hanger </t>
  </si>
  <si>
    <t xml:space="preserve">Mush lamp </t>
  </si>
  <si>
    <t xml:space="preserve">Mush stool </t>
  </si>
  <si>
    <t xml:space="preserve">Mush table </t>
  </si>
  <si>
    <t xml:space="preserve">Mush TV </t>
  </si>
  <si>
    <t xml:space="preserve">Mush wall lamp </t>
  </si>
  <si>
    <t xml:space="preserve">Music stand </t>
  </si>
  <si>
    <t xml:space="preserve">Neon sign </t>
  </si>
  <si>
    <t xml:space="preserve">Neutral corner </t>
  </si>
  <si>
    <t xml:space="preserve">New Year's noodles </t>
  </si>
  <si>
    <t xml:space="preserve">Nine lamp </t>
  </si>
  <si>
    <t xml:space="preserve">Ninja sword </t>
  </si>
  <si>
    <t xml:space="preserve">Notebook bed </t>
  </si>
  <si>
    <t xml:space="preserve">Notebook wardrobe </t>
  </si>
  <si>
    <t xml:space="preserve">Nutcracker </t>
  </si>
  <si>
    <t xml:space="preserve">Octopus chair </t>
  </si>
  <si>
    <t xml:space="preserve">Odd clock </t>
  </si>
  <si>
    <t xml:space="preserve">Office chair </t>
  </si>
  <si>
    <t xml:space="preserve">Office desk </t>
  </si>
  <si>
    <t xml:space="preserve">Office locker </t>
  </si>
  <si>
    <t xml:space="preserve">Ogre mask </t>
  </si>
  <si>
    <t xml:space="preserve">Oil barrel </t>
  </si>
  <si>
    <t xml:space="preserve">Oil lamp </t>
  </si>
  <si>
    <t xml:space="preserve">Old sewing machine </t>
  </si>
  <si>
    <t xml:space="preserve">One lamp </t>
  </si>
  <si>
    <t xml:space="preserve">Orange cone </t>
  </si>
  <si>
    <t xml:space="preserve">Outdoor bath </t>
  </si>
  <si>
    <t xml:space="preserve">Oval clock </t>
  </si>
  <si>
    <t xml:space="preserve">Owl clock </t>
  </si>
  <si>
    <t xml:space="preserve">Pachira </t>
  </si>
  <si>
    <t xml:space="preserve">Pagoda </t>
  </si>
  <si>
    <t xml:space="preserve">Painting set </t>
  </si>
  <si>
    <t xml:space="preserve">Palm-tree lamp </t>
  </si>
  <si>
    <t xml:space="preserve">Pansy table </t>
  </si>
  <si>
    <t xml:space="preserve">Pantheon post </t>
  </si>
  <si>
    <t xml:space="preserve">Papa bear </t>
  </si>
  <si>
    <t xml:space="preserve">Papa panda </t>
  </si>
  <si>
    <t xml:space="preserve">Paper lantern </t>
  </si>
  <si>
    <t xml:space="preserve">Paper tiger </t>
  </si>
  <si>
    <t xml:space="preserve">Paper wall lamp </t>
  </si>
  <si>
    <t xml:space="preserve">Partition screen </t>
  </si>
  <si>
    <t xml:space="preserve">Patchwork chair </t>
  </si>
  <si>
    <t xml:space="preserve">Patchwork dresser </t>
  </si>
  <si>
    <t xml:space="preserve">Patchwork lamp </t>
  </si>
  <si>
    <t xml:space="preserve">Patchwork sofa </t>
  </si>
  <si>
    <t xml:space="preserve">Patchwork table </t>
  </si>
  <si>
    <t xml:space="preserve">Paulownia closet </t>
  </si>
  <si>
    <t xml:space="preserve">Pavé bed </t>
  </si>
  <si>
    <t xml:space="preserve">Pavé bookshelf </t>
  </si>
  <si>
    <t xml:space="preserve">Pavé bureau </t>
  </si>
  <si>
    <t xml:space="preserve">Pavé chair </t>
  </si>
  <si>
    <t xml:space="preserve">Pavé chest </t>
  </si>
  <si>
    <t xml:space="preserve">Pavé clock </t>
  </si>
  <si>
    <t xml:space="preserve">Pavé closet </t>
  </si>
  <si>
    <t xml:space="preserve">Pavé end table </t>
  </si>
  <si>
    <t xml:space="preserve">Pavé lamp </t>
  </si>
  <si>
    <t xml:space="preserve">Pavé sofa </t>
  </si>
  <si>
    <t xml:space="preserve">Pavé table </t>
  </si>
  <si>
    <t xml:space="preserve">Pawn </t>
  </si>
  <si>
    <t xml:space="preserve">Peacock chair </t>
  </si>
  <si>
    <t xml:space="preserve">Pear dresser </t>
  </si>
  <si>
    <t xml:space="preserve">Pear wardrobe </t>
  </si>
  <si>
    <t xml:space="preserve">Pencil screen </t>
  </si>
  <si>
    <t xml:space="preserve">Pendulum clock </t>
  </si>
  <si>
    <t xml:space="preserve">Pepper mill </t>
  </si>
  <si>
    <t xml:space="preserve">Phone box </t>
  </si>
  <si>
    <t xml:space="preserve">Phonograph </t>
  </si>
  <si>
    <t xml:space="preserve">Pickle jar </t>
  </si>
  <si>
    <t xml:space="preserve">Picnic basket </t>
  </si>
  <si>
    <t xml:space="preserve">Picnic table </t>
  </si>
  <si>
    <t xml:space="preserve">Piggy bank </t>
  </si>
  <si>
    <t xml:space="preserve">Pikmin </t>
  </si>
  <si>
    <t xml:space="preserve">Pile of leaves </t>
  </si>
  <si>
    <t xml:space="preserve">Pinball machine </t>
  </si>
  <si>
    <t xml:space="preserve">Pine bonsai </t>
  </si>
  <si>
    <t xml:space="preserve">Pine chair </t>
  </si>
  <si>
    <t xml:space="preserve">Pine table </t>
  </si>
  <si>
    <t xml:space="preserve">Pineapple bed </t>
  </si>
  <si>
    <t xml:space="preserve">Pink velvet stool </t>
  </si>
  <si>
    <t xml:space="preserve">Pipe </t>
  </si>
  <si>
    <t xml:space="preserve">Pipe organ </t>
  </si>
  <si>
    <t xml:space="preserve">Pipe stool </t>
  </si>
  <si>
    <t xml:space="preserve">Pirate's armor </t>
  </si>
  <si>
    <t xml:space="preserve">Pisces lamp </t>
  </si>
  <si>
    <t xml:space="preserve">Planter </t>
  </si>
  <si>
    <t xml:space="preserve">Plate armor </t>
  </si>
  <si>
    <t xml:space="preserve">Plum bonsai </t>
  </si>
  <si>
    <t xml:space="preserve">Podium </t>
  </si>
  <si>
    <t xml:space="preserve">Poinsettia </t>
  </si>
  <si>
    <t xml:space="preserve">Polka-dot bed </t>
  </si>
  <si>
    <t xml:space="preserve">Polka-dot chair </t>
  </si>
  <si>
    <t xml:space="preserve">Polka-dot clock </t>
  </si>
  <si>
    <t xml:space="preserve">Polka-dot closet </t>
  </si>
  <si>
    <t xml:space="preserve">Polka-dot dresser </t>
  </si>
  <si>
    <t xml:space="preserve">Polka-dot lamp </t>
  </si>
  <si>
    <t xml:space="preserve">Polka-dot low table </t>
  </si>
  <si>
    <t xml:space="preserve">Polka-dot sofa </t>
  </si>
  <si>
    <t xml:space="preserve">Polka-dot stool </t>
  </si>
  <si>
    <t xml:space="preserve">Polka-dot table </t>
  </si>
  <si>
    <t xml:space="preserve">Polka-dot TV </t>
  </si>
  <si>
    <t xml:space="preserve">Ponderosa bonsai </t>
  </si>
  <si>
    <t xml:space="preserve">Popcorn machine </t>
  </si>
  <si>
    <t xml:space="preserve">Pop-up book </t>
  </si>
  <si>
    <t xml:space="preserve">Portable toilet </t>
  </si>
  <si>
    <t xml:space="preserve">Poster stand </t>
  </si>
  <si>
    <t xml:space="preserve">Post-office poster </t>
  </si>
  <si>
    <t xml:space="preserve">Pot rack </t>
  </si>
  <si>
    <t xml:space="preserve">Potbelly stove </t>
  </si>
  <si>
    <t xml:space="preserve">Pothos </t>
  </si>
  <si>
    <t xml:space="preserve">Potted ivy </t>
  </si>
  <si>
    <t xml:space="preserve">Potty </t>
  </si>
  <si>
    <t xml:space="preserve">Princess bed </t>
  </si>
  <si>
    <t xml:space="preserve">Princess cage </t>
  </si>
  <si>
    <t xml:space="preserve">Princess chair </t>
  </si>
  <si>
    <t xml:space="preserve">Princess chest </t>
  </si>
  <si>
    <t xml:space="preserve">Princess clock </t>
  </si>
  <si>
    <t xml:space="preserve">Princess closet </t>
  </si>
  <si>
    <t xml:space="preserve">Princess curio </t>
  </si>
  <si>
    <t xml:space="preserve">Princess dresser </t>
  </si>
  <si>
    <t xml:space="preserve">Princess lamp </t>
  </si>
  <si>
    <t xml:space="preserve">Princess sofa </t>
  </si>
  <si>
    <t xml:space="preserve">Princess table </t>
  </si>
  <si>
    <t xml:space="preserve">Propane stove </t>
  </si>
  <si>
    <t xml:space="preserve">Puffer-fish TV </t>
  </si>
  <si>
    <t xml:space="preserve">Pumpkin pie </t>
  </si>
  <si>
    <t xml:space="preserve">Pyramid </t>
  </si>
  <si>
    <t xml:space="preserve">Queen </t>
  </si>
  <si>
    <t xml:space="preserve">Quince bonsai </t>
  </si>
  <si>
    <t xml:space="preserve">Raccoon figurine </t>
  </si>
  <si>
    <t xml:space="preserve">Raccoon wall clock </t>
  </si>
  <si>
    <t xml:space="preserve">Radiator </t>
  </si>
  <si>
    <t xml:space="preserve">Rainbow screen </t>
  </si>
  <si>
    <t xml:space="preserve">Ranch armchair </t>
  </si>
  <si>
    <t xml:space="preserve">Ranch bed </t>
  </si>
  <si>
    <t xml:space="preserve">Ranch bookcase </t>
  </si>
  <si>
    <t xml:space="preserve">Ranch chair </t>
  </si>
  <si>
    <t xml:space="preserve">Ranch couch </t>
  </si>
  <si>
    <t xml:space="preserve">Ranch dresser </t>
  </si>
  <si>
    <t xml:space="preserve">Ranch hutch </t>
  </si>
  <si>
    <t xml:space="preserve">Ranch table </t>
  </si>
  <si>
    <t xml:space="preserve">Ranch tea table </t>
  </si>
  <si>
    <t xml:space="preserve">Ranch wall rack </t>
  </si>
  <si>
    <t xml:space="preserve">Ranch wardrobe </t>
  </si>
  <si>
    <t xml:space="preserve">Range </t>
  </si>
  <si>
    <t xml:space="preserve">Raven pole </t>
  </si>
  <si>
    <t xml:space="preserve">Reception table </t>
  </si>
  <si>
    <t xml:space="preserve">Record player </t>
  </si>
  <si>
    <t xml:space="preserve">Red corner </t>
  </si>
  <si>
    <t xml:space="preserve">Red vase </t>
  </si>
  <si>
    <t xml:space="preserve">Red-snapper chair </t>
  </si>
  <si>
    <t xml:space="preserve">Red-tasseled lantern </t>
  </si>
  <si>
    <t xml:space="preserve">Reel-to-reel </t>
  </si>
  <si>
    <t xml:space="preserve">Refrigerator </t>
  </si>
  <si>
    <t xml:space="preserve">Regal armoire </t>
  </si>
  <si>
    <t xml:space="preserve">Regal bed </t>
  </si>
  <si>
    <t xml:space="preserve">Regal bookcase </t>
  </si>
  <si>
    <t xml:space="preserve">Regal chair </t>
  </si>
  <si>
    <t xml:space="preserve">Regal clock </t>
  </si>
  <si>
    <t xml:space="preserve">Regal dresser </t>
  </si>
  <si>
    <t xml:space="preserve">Regal lamp </t>
  </si>
  <si>
    <t xml:space="preserve">Regal sofa </t>
  </si>
  <si>
    <t xml:space="preserve">Regal table </t>
  </si>
  <si>
    <t xml:space="preserve">Regal vanity </t>
  </si>
  <si>
    <t xml:space="preserve">Regal wall lamp </t>
  </si>
  <si>
    <t xml:space="preserve">Resetti model </t>
  </si>
  <si>
    <t xml:space="preserve">Retro fridge </t>
  </si>
  <si>
    <t xml:space="preserve">Retro stereo </t>
  </si>
  <si>
    <t xml:space="preserve">Retro TV </t>
  </si>
  <si>
    <t xml:space="preserve">Revolving spice rack </t>
  </si>
  <si>
    <t xml:space="preserve">Rice cake </t>
  </si>
  <si>
    <t xml:space="preserve">Rice cooker </t>
  </si>
  <si>
    <t xml:space="preserve">Rice-plant bed </t>
  </si>
  <si>
    <t xml:space="preserve">Right platform </t>
  </si>
  <si>
    <t xml:space="preserve">Righty desk </t>
  </si>
  <si>
    <t xml:space="preserve">Ringside table </t>
  </si>
  <si>
    <t xml:space="preserve">Robo-bed </t>
  </si>
  <si>
    <t xml:space="preserve">Robo-chair </t>
  </si>
  <si>
    <t xml:space="preserve">Robo-clock </t>
  </si>
  <si>
    <t xml:space="preserve">Robo-closet </t>
  </si>
  <si>
    <t xml:space="preserve">Robo-dresser </t>
  </si>
  <si>
    <t xml:space="preserve">Robo-lamp </t>
  </si>
  <si>
    <t xml:space="preserve">Robo-sofa </t>
  </si>
  <si>
    <t xml:space="preserve">Robo-stereo </t>
  </si>
  <si>
    <t xml:space="preserve">Robo-table </t>
  </si>
  <si>
    <t xml:space="preserve">Robo-TV </t>
  </si>
  <si>
    <t xml:space="preserve">Robo-wall clock </t>
  </si>
  <si>
    <t xml:space="preserve">Rock guitar </t>
  </si>
  <si>
    <t xml:space="preserve">Rocket </t>
  </si>
  <si>
    <t xml:space="preserve">Rocking chair </t>
  </si>
  <si>
    <t xml:space="preserve">Rocking horse </t>
  </si>
  <si>
    <t xml:space="preserve">Rococo bed </t>
  </si>
  <si>
    <t xml:space="preserve">Rococo candlestick </t>
  </si>
  <si>
    <t xml:space="preserve">Rococo chair </t>
  </si>
  <si>
    <t xml:space="preserve">Rococo clock </t>
  </si>
  <si>
    <t xml:space="preserve">Rococo dresser </t>
  </si>
  <si>
    <t xml:space="preserve">Rococo lamp </t>
  </si>
  <si>
    <t xml:space="preserve">Rococo shelf </t>
  </si>
  <si>
    <t xml:space="preserve">Rococo sofa </t>
  </si>
  <si>
    <t xml:space="preserve">Rococo table </t>
  </si>
  <si>
    <t xml:space="preserve">Rococo vanity </t>
  </si>
  <si>
    <t xml:space="preserve">Rococo wardrobe </t>
  </si>
  <si>
    <t xml:space="preserve">Rolling suitcase </t>
  </si>
  <si>
    <t xml:space="preserve">Rook </t>
  </si>
  <si>
    <t xml:space="preserve">Rooster of Barcelos </t>
  </si>
  <si>
    <t xml:space="preserve">Rope partition </t>
  </si>
  <si>
    <t xml:space="preserve">Rose sofa </t>
  </si>
  <si>
    <t xml:space="preserve">Round cactus </t>
  </si>
  <si>
    <t xml:space="preserve">Round clock </t>
  </si>
  <si>
    <t xml:space="preserve">Round mini cactus </t>
  </si>
  <si>
    <t xml:space="preserve">Rubber tree </t>
  </si>
  <si>
    <t xml:space="preserve">S.S. Dolphin </t>
  </si>
  <si>
    <t xml:space="preserve">Saddle fence </t>
  </si>
  <si>
    <t xml:space="preserve">Safe </t>
  </si>
  <si>
    <t xml:space="preserve">Sagittarius arrow </t>
  </si>
  <si>
    <t xml:space="preserve">Sailboat model </t>
  </si>
  <si>
    <t xml:space="preserve">Salad bar </t>
  </si>
  <si>
    <t xml:space="preserve">Samgyetang </t>
  </si>
  <si>
    <t xml:space="preserve">Samurai suit </t>
  </si>
  <si>
    <t xml:space="preserve">Sand castle </t>
  </si>
  <si>
    <t xml:space="preserve">Sandbag </t>
  </si>
  <si>
    <t xml:space="preserve">Sandwich display </t>
  </si>
  <si>
    <t xml:space="preserve">Sanshin </t>
  </si>
  <si>
    <t xml:space="preserve">Satellite </t>
  </si>
  <si>
    <t xml:space="preserve">Sawhorse </t>
  </si>
  <si>
    <t xml:space="preserve">Scale </t>
  </si>
  <si>
    <t xml:space="preserve">Scarecrow </t>
  </si>
  <si>
    <t xml:space="preserve">School chair </t>
  </si>
  <si>
    <t xml:space="preserve">School desk </t>
  </si>
  <si>
    <t xml:space="preserve">School speaker </t>
  </si>
  <si>
    <t xml:space="preserve">Science table </t>
  </si>
  <si>
    <t xml:space="preserve">Sconce </t>
  </si>
  <si>
    <t xml:space="preserve">Scoreboard </t>
  </si>
  <si>
    <t xml:space="preserve">Scorpio lamp </t>
  </si>
  <si>
    <t xml:space="preserve">Screen </t>
  </si>
  <si>
    <t xml:space="preserve">Sea globe </t>
  </si>
  <si>
    <t xml:space="preserve">Sea-anemone bed </t>
  </si>
  <si>
    <t xml:space="preserve">Server </t>
  </si>
  <si>
    <t xml:space="preserve">Set square table </t>
  </si>
  <si>
    <t xml:space="preserve">Seven lamp </t>
  </si>
  <si>
    <t xml:space="preserve">Sewing machine </t>
  </si>
  <si>
    <t xml:space="preserve">Shamrock clock </t>
  </si>
  <si>
    <t xml:space="preserve">Shaved-ice lamp </t>
  </si>
  <si>
    <t xml:space="preserve">Shaved-ice maker </t>
  </si>
  <si>
    <t xml:space="preserve">Ship cannon </t>
  </si>
  <si>
    <t xml:space="preserve">Ship compass </t>
  </si>
  <si>
    <t xml:space="preserve">Shogi board </t>
  </si>
  <si>
    <t xml:space="preserve">Shogi piece </t>
  </si>
  <si>
    <t xml:space="preserve">Shopping cart </t>
  </si>
  <si>
    <t xml:space="preserve">Shower </t>
  </si>
  <si>
    <t xml:space="preserve">Shower stall </t>
  </si>
  <si>
    <t xml:space="preserve">Silver bug trophy </t>
  </si>
  <si>
    <t xml:space="preserve">Silver fish trophy </t>
  </si>
  <si>
    <t xml:space="preserve">Silver HHA plaque </t>
  </si>
  <si>
    <t xml:space="preserve">Silver HHA trophy </t>
  </si>
  <si>
    <t xml:space="preserve">Simple armchair </t>
  </si>
  <si>
    <t xml:space="preserve">Simple kettle </t>
  </si>
  <si>
    <t xml:space="preserve">Simple love seat </t>
  </si>
  <si>
    <t xml:space="preserve">Sink </t>
  </si>
  <si>
    <t xml:space="preserve">Siphon </t>
  </si>
  <si>
    <t xml:space="preserve">Sitar </t>
  </si>
  <si>
    <t xml:space="preserve">Six lamp </t>
  </si>
  <si>
    <t xml:space="preserve">Skeleton </t>
  </si>
  <si>
    <t xml:space="preserve">Skeleton figurine </t>
  </si>
  <si>
    <t xml:space="preserve">Sketchbook </t>
  </si>
  <si>
    <t xml:space="preserve">Ski rack </t>
  </si>
  <si>
    <t xml:space="preserve">Slalom gate </t>
  </si>
  <si>
    <t xml:space="preserve">Sleek bed </t>
  </si>
  <si>
    <t xml:space="preserve">Sleek chair </t>
  </si>
  <si>
    <t xml:space="preserve">Sleek clock </t>
  </si>
  <si>
    <t xml:space="preserve">Sleek closet </t>
  </si>
  <si>
    <t xml:space="preserve">Sleek dresser </t>
  </si>
  <si>
    <t xml:space="preserve">Sleek lamp </t>
  </si>
  <si>
    <t xml:space="preserve">Sleek side table </t>
  </si>
  <si>
    <t xml:space="preserve">Sleek sideboard </t>
  </si>
  <si>
    <t xml:space="preserve">Sleek sofa </t>
  </si>
  <si>
    <t xml:space="preserve">Sleek stereo </t>
  </si>
  <si>
    <t xml:space="preserve">Sleek table </t>
  </si>
  <si>
    <t xml:space="preserve">Sleeping bag </t>
  </si>
  <si>
    <t xml:space="preserve">Sleigh </t>
  </si>
  <si>
    <t xml:space="preserve">Slide puzzle </t>
  </si>
  <si>
    <t xml:space="preserve">Sloppy bed </t>
  </si>
  <si>
    <t xml:space="preserve">Sloppy chair </t>
  </si>
  <si>
    <t xml:space="preserve">Sloppy clock </t>
  </si>
  <si>
    <t xml:space="preserve">Sloppy closet </t>
  </si>
  <si>
    <t xml:space="preserve">Sloppy dresser </t>
  </si>
  <si>
    <t xml:space="preserve">Sloppy lamp </t>
  </si>
  <si>
    <t xml:space="preserve">Sloppy sink </t>
  </si>
  <si>
    <t xml:space="preserve">Sloppy sofa </t>
  </si>
  <si>
    <t xml:space="preserve">Sloppy stereo </t>
  </si>
  <si>
    <t xml:space="preserve">Sloppy table </t>
  </si>
  <si>
    <t xml:space="preserve">Sloppy TV </t>
  </si>
  <si>
    <t xml:space="preserve">Slushie machine </t>
  </si>
  <si>
    <t xml:space="preserve">Small igloo </t>
  </si>
  <si>
    <t xml:space="preserve">Small LED display </t>
  </si>
  <si>
    <t xml:space="preserve">Small magazine rack </t>
  </si>
  <si>
    <t xml:space="preserve">Small space console </t>
  </si>
  <si>
    <t xml:space="preserve">Small spotlight </t>
  </si>
  <si>
    <t xml:space="preserve">Smoker </t>
  </si>
  <si>
    <t xml:space="preserve">Snail clock </t>
  </si>
  <si>
    <t xml:space="preserve">Snake plant </t>
  </si>
  <si>
    <t xml:space="preserve">Snow bunny </t>
  </si>
  <si>
    <t xml:space="preserve">Snow globe </t>
  </si>
  <si>
    <t xml:space="preserve">Snow machine </t>
  </si>
  <si>
    <t xml:space="preserve">Snowboard </t>
  </si>
  <si>
    <t xml:space="preserve">Snowman </t>
  </si>
  <si>
    <t xml:space="preserve">Snowman bed </t>
  </si>
  <si>
    <t xml:space="preserve">Snowman chair </t>
  </si>
  <si>
    <t xml:space="preserve">Snowman clock </t>
  </si>
  <si>
    <t xml:space="preserve">Snowman dresser </t>
  </si>
  <si>
    <t xml:space="preserve">Snowman fridge </t>
  </si>
  <si>
    <t xml:space="preserve">Snowman lamp </t>
  </si>
  <si>
    <t xml:space="preserve">Snowman matryoshka </t>
  </si>
  <si>
    <t xml:space="preserve">Snowman sofa </t>
  </si>
  <si>
    <t xml:space="preserve">Snowman table </t>
  </si>
  <si>
    <t xml:space="preserve">Snowman TV </t>
  </si>
  <si>
    <t xml:space="preserve">Snowman vanity </t>
  </si>
  <si>
    <t xml:space="preserve">Snowman wardrobe </t>
  </si>
  <si>
    <t xml:space="preserve">Snowmobile </t>
  </si>
  <si>
    <t xml:space="preserve">Soda case </t>
  </si>
  <si>
    <t xml:space="preserve">Soda fountain </t>
  </si>
  <si>
    <t xml:space="preserve">Soft-drink display </t>
  </si>
  <si>
    <t xml:space="preserve">Soft-serve lamp </t>
  </si>
  <si>
    <t xml:space="preserve">Songpyeon </t>
  </si>
  <si>
    <t xml:space="preserve">Spa chair </t>
  </si>
  <si>
    <t xml:space="preserve">Space captain's seat </t>
  </si>
  <si>
    <t xml:space="preserve">Space console </t>
  </si>
  <si>
    <t xml:space="preserve">Space heater </t>
  </si>
  <si>
    <t xml:space="preserve">Space shuttle </t>
  </si>
  <si>
    <t xml:space="preserve">Space station </t>
  </si>
  <si>
    <t xml:space="preserve">Spaceman Sam </t>
  </si>
  <si>
    <t xml:space="preserve">Speed bag </t>
  </si>
  <si>
    <t xml:space="preserve">Spherical radar </t>
  </si>
  <si>
    <t xml:space="preserve">Sphinx </t>
  </si>
  <si>
    <t xml:space="preserve">Spiderweb clock </t>
  </si>
  <si>
    <t xml:space="preserve">Spinning wheel </t>
  </si>
  <si>
    <t xml:space="preserve">Spooky bed </t>
  </si>
  <si>
    <t xml:space="preserve">Spooky bookcase </t>
  </si>
  <si>
    <t xml:space="preserve">Spooky chair </t>
  </si>
  <si>
    <t xml:space="preserve">Spooky clock </t>
  </si>
  <si>
    <t xml:space="preserve">Spooky dresser </t>
  </si>
  <si>
    <t xml:space="preserve">Spooky lamp </t>
  </si>
  <si>
    <t xml:space="preserve">Spooky sofa </t>
  </si>
  <si>
    <t xml:space="preserve">Spooky table </t>
  </si>
  <si>
    <t xml:space="preserve">Spooky vanity </t>
  </si>
  <si>
    <t xml:space="preserve">Spooky wall lamp </t>
  </si>
  <si>
    <t xml:space="preserve">Spooky wardrobe </t>
  </si>
  <si>
    <t xml:space="preserve">Sprinkler </t>
  </si>
  <si>
    <t xml:space="preserve">Sprout table </t>
  </si>
  <si>
    <t xml:space="preserve">Squid chair </t>
  </si>
  <si>
    <t xml:space="preserve">Stadiometer </t>
  </si>
  <si>
    <t xml:space="preserve">Stag-beetle chair </t>
  </si>
  <si>
    <t xml:space="preserve">Stained glass </t>
  </si>
  <si>
    <t xml:space="preserve">Stained-glass lamp </t>
  </si>
  <si>
    <t xml:space="preserve">Stair dresser </t>
  </si>
  <si>
    <t xml:space="preserve">Standing spotlight </t>
  </si>
  <si>
    <t xml:space="preserve">Star globe </t>
  </si>
  <si>
    <t xml:space="preserve">Star projector </t>
  </si>
  <si>
    <t xml:space="preserve">Statue of Liberty </t>
  </si>
  <si>
    <t xml:space="preserve">Steamed-bun case </t>
  </si>
  <si>
    <t xml:space="preserve">Steamroller </t>
  </si>
  <si>
    <t xml:space="preserve">Stepladder </t>
  </si>
  <si>
    <t xml:space="preserve">Stewpot </t>
  </si>
  <si>
    <t xml:space="preserve">Sticker tape liner </t>
  </si>
  <si>
    <t xml:space="preserve">Stool </t>
  </si>
  <si>
    <t xml:space="preserve">Storage case </t>
  </si>
  <si>
    <t xml:space="preserve">Storefront </t>
  </si>
  <si>
    <t xml:space="preserve">Stove </t>
  </si>
  <si>
    <t xml:space="preserve">Stripe bathroom sink </t>
  </si>
  <si>
    <t xml:space="preserve">Stripe bed </t>
  </si>
  <si>
    <t xml:space="preserve">Stripe chair </t>
  </si>
  <si>
    <t xml:space="preserve">Stripe clock </t>
  </si>
  <si>
    <t xml:space="preserve">Stripe closet </t>
  </si>
  <si>
    <t xml:space="preserve">Stripe dresser </t>
  </si>
  <si>
    <t xml:space="preserve">Stripe lamp </t>
  </si>
  <si>
    <t xml:space="preserve">Stripe shelf </t>
  </si>
  <si>
    <t xml:space="preserve">Stripe sofa </t>
  </si>
  <si>
    <t xml:space="preserve">Stripe table </t>
  </si>
  <si>
    <t xml:space="preserve">Stripe TV </t>
  </si>
  <si>
    <t xml:space="preserve">Striped cone </t>
  </si>
  <si>
    <t xml:space="preserve">Stroller </t>
  </si>
  <si>
    <t xml:space="preserve">Stuffed stocking </t>
  </si>
  <si>
    <t xml:space="preserve">Sunflower </t>
  </si>
  <si>
    <t xml:space="preserve">Sunflower stereo </t>
  </si>
  <si>
    <t xml:space="preserve">Sunrise lamp </t>
  </si>
  <si>
    <t xml:space="preserve">Super Mushroom </t>
  </si>
  <si>
    <t xml:space="preserve">Super Star </t>
  </si>
  <si>
    <t xml:space="preserve">Super toilet </t>
  </si>
  <si>
    <t xml:space="preserve">Surfboard </t>
  </si>
  <si>
    <t xml:space="preserve">Surveillance camera </t>
  </si>
  <si>
    <t xml:space="preserve">Sushi platter </t>
  </si>
  <si>
    <t xml:space="preserve">Sweets bed </t>
  </si>
  <si>
    <t xml:space="preserve">Sweets bookcase </t>
  </si>
  <si>
    <t xml:space="preserve">Sweets chair </t>
  </si>
  <si>
    <t xml:space="preserve">Sweets closet </t>
  </si>
  <si>
    <t xml:space="preserve">Sweets dresser </t>
  </si>
  <si>
    <t xml:space="preserve">Sweets lamp </t>
  </si>
  <si>
    <t xml:space="preserve">Sweets minilamp </t>
  </si>
  <si>
    <t xml:space="preserve">Sweets minitable </t>
  </si>
  <si>
    <t xml:space="preserve">Sweets player </t>
  </si>
  <si>
    <t xml:space="preserve">Sweets sofa </t>
  </si>
  <si>
    <t xml:space="preserve">Sweets table </t>
  </si>
  <si>
    <t xml:space="preserve">Sword </t>
  </si>
  <si>
    <t xml:space="preserve">Table lamp </t>
  </si>
  <si>
    <t xml:space="preserve">Tabletop game </t>
  </si>
  <si>
    <t xml:space="preserve">Taiko drum </t>
  </si>
  <si>
    <t xml:space="preserve">Tall cactus </t>
  </si>
  <si>
    <t xml:space="preserve">Tall display case </t>
  </si>
  <si>
    <t xml:space="preserve">Tall lantern </t>
  </si>
  <si>
    <t xml:space="preserve">Tall mini cactus </t>
  </si>
  <si>
    <t xml:space="preserve">Tangerine chair </t>
  </si>
  <si>
    <t xml:space="preserve">Tape deck </t>
  </si>
  <si>
    <t xml:space="preserve">Tapestry </t>
  </si>
  <si>
    <t xml:space="preserve">Tatami bed </t>
  </si>
  <si>
    <t xml:space="preserve">Taurus bathtub </t>
  </si>
  <si>
    <t xml:space="preserve">Tea set </t>
  </si>
  <si>
    <t xml:space="preserve">Tea table </t>
  </si>
  <si>
    <t xml:space="preserve">Tea tansu </t>
  </si>
  <si>
    <t xml:space="preserve">Tea vase </t>
  </si>
  <si>
    <t xml:space="preserve">Teacher's chair </t>
  </si>
  <si>
    <t xml:space="preserve">Teacher's desk </t>
  </si>
  <si>
    <t xml:space="preserve">Telescope </t>
  </si>
  <si>
    <t xml:space="preserve">Ten Billion Barrel </t>
  </si>
  <si>
    <t xml:space="preserve">Tennis table </t>
  </si>
  <si>
    <t xml:space="preserve">Theremin </t>
  </si>
  <si>
    <t xml:space="preserve">Thermohygrometer </t>
  </si>
  <si>
    <t xml:space="preserve">Three lamp </t>
  </si>
  <si>
    <t xml:space="preserve">Throne </t>
  </si>
  <si>
    <t xml:space="preserve">Tiki torch </t>
  </si>
  <si>
    <t xml:space="preserve">Time clock </t>
  </si>
  <si>
    <t xml:space="preserve">Timpano drum </t>
  </si>
  <si>
    <t xml:space="preserve">Toaster </t>
  </si>
  <si>
    <t xml:space="preserve">Toilet </t>
  </si>
  <si>
    <t xml:space="preserve">Tokonoma </t>
  </si>
  <si>
    <t xml:space="preserve">Top </t>
  </si>
  <si>
    <t xml:space="preserve">Tower of Pisa </t>
  </si>
  <si>
    <t xml:space="preserve">Toy camera </t>
  </si>
  <si>
    <t xml:space="preserve">Traffic cone </t>
  </si>
  <si>
    <t xml:space="preserve">Train set </t>
  </si>
  <si>
    <t xml:space="preserve">Trash bin </t>
  </si>
  <si>
    <t xml:space="preserve">Trash can </t>
  </si>
  <si>
    <t xml:space="preserve">Treadmill </t>
  </si>
  <si>
    <t xml:space="preserve">Treasure chest </t>
  </si>
  <si>
    <t xml:space="preserve">Tree standee </t>
  </si>
  <si>
    <t xml:space="preserve">Tree-stump chair </t>
  </si>
  <si>
    <t xml:space="preserve">Tribal mask </t>
  </si>
  <si>
    <t xml:space="preserve">Tricycle </t>
  </si>
  <si>
    <t xml:space="preserve">Triforce </t>
  </si>
  <si>
    <t xml:space="preserve">Triple Bananas </t>
  </si>
  <si>
    <t xml:space="preserve">Triple Red Shells </t>
  </si>
  <si>
    <t xml:space="preserve">Trunk </t>
  </si>
  <si>
    <t xml:space="preserve">Trunk measure </t>
  </si>
  <si>
    <t xml:space="preserve">Tteok plate </t>
  </si>
  <si>
    <t xml:space="preserve">Tuk-tuk </t>
  </si>
  <si>
    <t xml:space="preserve">Tulip dresser </t>
  </si>
  <si>
    <t xml:space="preserve">Tumbleweed </t>
  </si>
  <si>
    <t xml:space="preserve">Turkey </t>
  </si>
  <si>
    <t xml:space="preserve">Turntable </t>
  </si>
  <si>
    <t xml:space="preserve">TV camera </t>
  </si>
  <si>
    <t xml:space="preserve">TV with VCR </t>
  </si>
  <si>
    <t xml:space="preserve">Twelve-grape plate </t>
  </si>
  <si>
    <t xml:space="preserve">Two lamp </t>
  </si>
  <si>
    <t xml:space="preserve">Typewriter </t>
  </si>
  <si>
    <t xml:space="preserve">Ukulele </t>
  </si>
  <si>
    <t xml:space="preserve">Ultra Hand </t>
  </si>
  <si>
    <t xml:space="preserve">Ultra Machine </t>
  </si>
  <si>
    <t xml:space="preserve">Ultra Scope </t>
  </si>
  <si>
    <t xml:space="preserve">Unknown machine </t>
  </si>
  <si>
    <t xml:space="preserve">Upright piano </t>
  </si>
  <si>
    <t xml:space="preserve">Upright vacuum </t>
  </si>
  <si>
    <t xml:space="preserve">Vacuum cleaner </t>
  </si>
  <si>
    <t xml:space="preserve">Vaulting horse </t>
  </si>
  <si>
    <t xml:space="preserve">Veggie basket </t>
  </si>
  <si>
    <t xml:space="preserve">Ventilation fan </t>
  </si>
  <si>
    <t xml:space="preserve">Vibraphone </t>
  </si>
  <si>
    <t xml:space="preserve">Vintage camera </t>
  </si>
  <si>
    <t xml:space="preserve">Vintage radio </t>
  </si>
  <si>
    <t xml:space="preserve">Vintage telephone </t>
  </si>
  <si>
    <t xml:space="preserve">Vintage telescope </t>
  </si>
  <si>
    <t xml:space="preserve">Violet screen </t>
  </si>
  <si>
    <t xml:space="preserve">Violin </t>
  </si>
  <si>
    <t xml:space="preserve">Virgo harp </t>
  </si>
  <si>
    <t xml:space="preserve">Virtual Boy </t>
  </si>
  <si>
    <t xml:space="preserve">Vision tester </t>
  </si>
  <si>
    <t xml:space="preserve">Volleyball net </t>
  </si>
  <si>
    <t xml:space="preserve">Wagon wheel </t>
  </si>
  <si>
    <t xml:space="preserve">Wall fan </t>
  </si>
  <si>
    <t xml:space="preserve">Wall flowerpot </t>
  </si>
  <si>
    <t xml:space="preserve">Wall-mounted monitor </t>
  </si>
  <si>
    <t xml:space="preserve">Wall-mounted speaker </t>
  </si>
  <si>
    <t xml:space="preserve">Washbasin (1) </t>
  </si>
  <si>
    <t xml:space="preserve">Washbasin (2) </t>
  </si>
  <si>
    <t xml:space="preserve">Washer/dryer </t>
  </si>
  <si>
    <t xml:space="preserve">Washing machine </t>
  </si>
  <si>
    <t xml:space="preserve">Water bird </t>
  </si>
  <si>
    <t xml:space="preserve">Water cooler </t>
  </si>
  <si>
    <t xml:space="preserve">Watering trough </t>
  </si>
  <si>
    <t xml:space="preserve">Watermelon chair </t>
  </si>
  <si>
    <t xml:space="preserve">Watermelon table </t>
  </si>
  <si>
    <t xml:space="preserve">Wave breaker </t>
  </si>
  <si>
    <t xml:space="preserve">Wedding cake </t>
  </si>
  <si>
    <t xml:space="preserve">Weeping fig </t>
  </si>
  <si>
    <t xml:space="preserve">Weight bench </t>
  </si>
  <si>
    <t xml:space="preserve">Well </t>
  </si>
  <si>
    <t xml:space="preserve">Western fence </t>
  </si>
  <si>
    <t xml:space="preserve">Wet-road sign </t>
  </si>
  <si>
    <t xml:space="preserve">Wheat bundle </t>
  </si>
  <si>
    <t xml:space="preserve">Wheat field </t>
  </si>
  <si>
    <t xml:space="preserve">Whirlpool bath </t>
  </si>
  <si>
    <t xml:space="preserve">White katana </t>
  </si>
  <si>
    <t xml:space="preserve">White pot </t>
  </si>
  <si>
    <t xml:space="preserve">Whiteboard </t>
  </si>
  <si>
    <t xml:space="preserve">Wide-screen TV </t>
  </si>
  <si>
    <t xml:space="preserve">Wii Balance Board </t>
  </si>
  <si>
    <t xml:space="preserve">Wobbelina </t>
  </si>
  <si>
    <t xml:space="preserve">Wooden box </t>
  </si>
  <si>
    <t xml:space="preserve">Wooden stool </t>
  </si>
  <si>
    <t xml:space="preserve">World map </t>
  </si>
  <si>
    <t xml:space="preserve">Writing chair </t>
  </si>
  <si>
    <t xml:space="preserve">Writing desk </t>
  </si>
  <si>
    <t xml:space="preserve">Yellow certificate </t>
  </si>
  <si>
    <t xml:space="preserve">Yoshi's Egg </t>
  </si>
  <si>
    <t xml:space="preserve">Yule log </t>
  </si>
  <si>
    <t xml:space="preserve">Yut board </t>
  </si>
  <si>
    <t xml:space="preserve">Zero lamp </t>
  </si>
  <si>
    <t xml:space="preserve">Zodiac boar </t>
  </si>
  <si>
    <t xml:space="preserve">Zodiac dog </t>
  </si>
  <si>
    <t xml:space="preserve">Zodiac dragon </t>
  </si>
  <si>
    <t xml:space="preserve">Zodiac goat </t>
  </si>
  <si>
    <t xml:space="preserve">Zodiac horse </t>
  </si>
  <si>
    <t xml:space="preserve">Zodiac monkey </t>
  </si>
  <si>
    <t xml:space="preserve">Zodiac ox </t>
  </si>
  <si>
    <t xml:space="preserve">Zodiac rabbit </t>
  </si>
  <si>
    <t xml:space="preserve">Zodiac rat </t>
  </si>
  <si>
    <t xml:space="preserve">Zodiac rooster </t>
  </si>
  <si>
    <t xml:space="preserve">Zodiac snake </t>
  </si>
  <si>
    <t xml:space="preserve">Zodiac tiger </t>
  </si>
  <si>
    <t xml:space="preserve">Alpine wall </t>
  </si>
  <si>
    <t xml:space="preserve">Ancient wall </t>
  </si>
  <si>
    <t xml:space="preserve">Arched window </t>
  </si>
  <si>
    <t xml:space="preserve">Astro wall </t>
  </si>
  <si>
    <t xml:space="preserve">Autumn wall </t>
  </si>
  <si>
    <t xml:space="preserve">Backgammon wall </t>
  </si>
  <si>
    <t xml:space="preserve">Backyard fence </t>
  </si>
  <si>
    <t xml:space="preserve">Balloon wall </t>
  </si>
  <si>
    <t xml:space="preserve">Bamboo wall </t>
  </si>
  <si>
    <t xml:space="preserve">Basement wall </t>
  </si>
  <si>
    <t xml:space="preserve">Bathhouse wall </t>
  </si>
  <si>
    <t xml:space="preserve">Blue tarp </t>
  </si>
  <si>
    <t xml:space="preserve">Blue wall </t>
  </si>
  <si>
    <t xml:space="preserve">Blue-trim wall </t>
  </si>
  <si>
    <t xml:space="preserve">Butterfly wall </t>
  </si>
  <si>
    <t xml:space="preserve">Cabana wall </t>
  </si>
  <si>
    <t xml:space="preserve">Cabin wall </t>
  </si>
  <si>
    <t xml:space="preserve">Card wall </t>
  </si>
  <si>
    <t xml:space="preserve">Chain-link fence </t>
  </si>
  <si>
    <t xml:space="preserve">Cheese wall </t>
  </si>
  <si>
    <t xml:space="preserve">Chic wall </t>
  </si>
  <si>
    <t xml:space="preserve">Citrus wall </t>
  </si>
  <si>
    <t xml:space="preserve">Cityscape wall </t>
  </si>
  <si>
    <t xml:space="preserve">Classic wall </t>
  </si>
  <si>
    <t xml:space="preserve">Classroom wall </t>
  </si>
  <si>
    <t xml:space="preserve">Common wall </t>
  </si>
  <si>
    <t xml:space="preserve">Concrete wall </t>
  </si>
  <si>
    <t xml:space="preserve">Creepy wall </t>
  </si>
  <si>
    <t xml:space="preserve">Desert vista </t>
  </si>
  <si>
    <t xml:space="preserve">Dig-site wall </t>
  </si>
  <si>
    <t xml:space="preserve">Dirt-clod wall </t>
  </si>
  <si>
    <t xml:space="preserve">Dotted wall </t>
  </si>
  <si>
    <t xml:space="preserve">Egg wall </t>
  </si>
  <si>
    <t xml:space="preserve">Exhibit-room wall </t>
  </si>
  <si>
    <t xml:space="preserve">Exotic wall </t>
  </si>
  <si>
    <t xml:space="preserve">Exquisite wall </t>
  </si>
  <si>
    <t xml:space="preserve">Floral wall </t>
  </si>
  <si>
    <t xml:space="preserve">Flower pop wall </t>
  </si>
  <si>
    <t xml:space="preserve">Forest wall </t>
  </si>
  <si>
    <t xml:space="preserve">Garden wall </t>
  </si>
  <si>
    <t xml:space="preserve">Gold screen wall </t>
  </si>
  <si>
    <t xml:space="preserve">Golden wall </t>
  </si>
  <si>
    <t xml:space="preserve">Gorgeous wall </t>
  </si>
  <si>
    <t xml:space="preserve">Gracie wallpaper </t>
  </si>
  <si>
    <t xml:space="preserve">Green wall </t>
  </si>
  <si>
    <t xml:space="preserve">Groovy wall </t>
  </si>
  <si>
    <t xml:space="preserve">Harvest wall </t>
  </si>
  <si>
    <t xml:space="preserve">Ice wall </t>
  </si>
  <si>
    <t xml:space="preserve">Illusion wall </t>
  </si>
  <si>
    <t xml:space="preserve">Imperial wall </t>
  </si>
  <si>
    <t xml:space="preserve">Industrial wall </t>
  </si>
  <si>
    <t xml:space="preserve">Ivy wall </t>
  </si>
  <si>
    <t xml:space="preserve">Jingle wall </t>
  </si>
  <si>
    <t xml:space="preserve">Jungle wall </t>
  </si>
  <si>
    <t xml:space="preserve">Kiddie wall </t>
  </si>
  <si>
    <t xml:space="preserve">Kitchen wall </t>
  </si>
  <si>
    <t xml:space="preserve">Kitschy wall </t>
  </si>
  <si>
    <t xml:space="preserve">Lab wall </t>
  </si>
  <si>
    <t xml:space="preserve">Lattice wall </t>
  </si>
  <si>
    <t xml:space="preserve">Library wall </t>
  </si>
  <si>
    <t xml:space="preserve">Lovely wall </t>
  </si>
  <si>
    <t xml:space="preserve">Lunar horizon </t>
  </si>
  <si>
    <t xml:space="preserve">Manor wall </t>
  </si>
  <si>
    <t xml:space="preserve">Marine pop wall </t>
  </si>
  <si>
    <t xml:space="preserve">Maze wall </t>
  </si>
  <si>
    <t xml:space="preserve">Meadow vista </t>
  </si>
  <si>
    <t xml:space="preserve">Mermaid wall </t>
  </si>
  <si>
    <t xml:space="preserve">Mod wall </t>
  </si>
  <si>
    <t xml:space="preserve">Modern screen </t>
  </si>
  <si>
    <t xml:space="preserve">Modern wall </t>
  </si>
  <si>
    <t xml:space="preserve">Modern wood wall </t>
  </si>
  <si>
    <t xml:space="preserve">Mortar wall </t>
  </si>
  <si>
    <t xml:space="preserve">Mosaic wall </t>
  </si>
  <si>
    <t xml:space="preserve">Museum wall </t>
  </si>
  <si>
    <t xml:space="preserve">Mushroom mural </t>
  </si>
  <si>
    <t xml:space="preserve">Music-room wall </t>
  </si>
  <si>
    <t xml:space="preserve">Neutral wall </t>
  </si>
  <si>
    <t xml:space="preserve">Notebook wall </t>
  </si>
  <si>
    <t xml:space="preserve">Office wall </t>
  </si>
  <si>
    <t xml:space="preserve">Old brick wall </t>
  </si>
  <si>
    <t xml:space="preserve">Ornate wall </t>
  </si>
  <si>
    <t xml:space="preserve">Paintball wall </t>
  </si>
  <si>
    <t xml:space="preserve">Palace wall </t>
  </si>
  <si>
    <t xml:space="preserve">Parlor wall </t>
  </si>
  <si>
    <t xml:space="preserve">Party wall </t>
  </si>
  <si>
    <t xml:space="preserve">Pastel-dot wall </t>
  </si>
  <si>
    <t xml:space="preserve">Pavé wall </t>
  </si>
  <si>
    <t xml:space="preserve">Paw-print wall </t>
  </si>
  <si>
    <t xml:space="preserve">Plaster wall </t>
  </si>
  <si>
    <t xml:space="preserve">Playroom wall </t>
  </si>
  <si>
    <t xml:space="preserve">Plaza wall </t>
  </si>
  <si>
    <t xml:space="preserve">Princess wall </t>
  </si>
  <si>
    <t xml:space="preserve">Ramshackle wall </t>
  </si>
  <si>
    <t xml:space="preserve">Ranch wall </t>
  </si>
  <si>
    <t xml:space="preserve">Red tile wall </t>
  </si>
  <si>
    <t xml:space="preserve">Regal wall </t>
  </si>
  <si>
    <t xml:space="preserve">Ringside seating </t>
  </si>
  <si>
    <t xml:space="preserve">Robo-wall </t>
  </si>
  <si>
    <t xml:space="preserve">Rococo wall </t>
  </si>
  <si>
    <t xml:space="preserve">Rose wall </t>
  </si>
  <si>
    <t xml:space="preserve">Sci-fi wall </t>
  </si>
  <si>
    <t xml:space="preserve">Sea view </t>
  </si>
  <si>
    <t xml:space="preserve">Shanty wall </t>
  </si>
  <si>
    <t xml:space="preserve">Shoji screen </t>
  </si>
  <si>
    <t xml:space="preserve">Ski-slope wall </t>
  </si>
  <si>
    <t xml:space="preserve">Sky wall </t>
  </si>
  <si>
    <t xml:space="preserve">Skyscraper wall </t>
  </si>
  <si>
    <t xml:space="preserve">Sleek wall </t>
  </si>
  <si>
    <t xml:space="preserve">Sloppy wall </t>
  </si>
  <si>
    <t xml:space="preserve">Snowman wall </t>
  </si>
  <si>
    <t xml:space="preserve">Spooky wall </t>
  </si>
  <si>
    <t xml:space="preserve">Sporty wall </t>
  </si>
  <si>
    <t xml:space="preserve">Stately wall </t>
  </si>
  <si>
    <t xml:space="preserve">Stone wall </t>
  </si>
  <si>
    <t xml:space="preserve">Stripe wall </t>
  </si>
  <si>
    <t xml:space="preserve">Summit wall </t>
  </si>
  <si>
    <t xml:space="preserve">Sweets wall </t>
  </si>
  <si>
    <t xml:space="preserve">Tearoom wall </t>
  </si>
  <si>
    <t xml:space="preserve">Tent wall </t>
  </si>
  <si>
    <t xml:space="preserve">Tree-lined wall </t>
  </si>
  <si>
    <t xml:space="preserve">Tropical vista </t>
  </si>
  <si>
    <t xml:space="preserve">Underwater wall </t>
  </si>
  <si>
    <t xml:space="preserve">Western vista </t>
  </si>
  <si>
    <t xml:space="preserve">Wood paneling </t>
  </si>
  <si>
    <t xml:space="preserve">Alpine rug </t>
  </si>
  <si>
    <t xml:space="preserve">Ancient tile </t>
  </si>
  <si>
    <t xml:space="preserve">Astro floor </t>
  </si>
  <si>
    <t xml:space="preserve">Autumn floor </t>
  </si>
  <si>
    <t xml:space="preserve">Backyard lawn </t>
  </si>
  <si>
    <t xml:space="preserve">Balloon floor </t>
  </si>
  <si>
    <t xml:space="preserve">Bamboo flooring </t>
  </si>
  <si>
    <t xml:space="preserve">Basement floor </t>
  </si>
  <si>
    <t xml:space="preserve">Bath tile </t>
  </si>
  <si>
    <t xml:space="preserve">Birch flooring </t>
  </si>
  <si>
    <t xml:space="preserve">Block floor </t>
  </si>
  <si>
    <t xml:space="preserve">Blue flooring </t>
  </si>
  <si>
    <t xml:space="preserve">Boxing-ring mat </t>
  </si>
  <si>
    <t xml:space="preserve">Cabana flooring </t>
  </si>
  <si>
    <t xml:space="preserve">Cabin rug </t>
  </si>
  <si>
    <t xml:space="preserve">Card carpet </t>
  </si>
  <si>
    <t xml:space="preserve">Ceramic tile </t>
  </si>
  <si>
    <t xml:space="preserve">Charcoal tile </t>
  </si>
  <si>
    <t xml:space="preserve">Checkered tile </t>
  </si>
  <si>
    <t xml:space="preserve">Cheese floor </t>
  </si>
  <si>
    <t xml:space="preserve">Chessboard rug </t>
  </si>
  <si>
    <t xml:space="preserve">Citrus carpet </t>
  </si>
  <si>
    <t xml:space="preserve">Classic carpet </t>
  </si>
  <si>
    <t xml:space="preserve">Classroom floor </t>
  </si>
  <si>
    <t xml:space="preserve">Closed road </t>
  </si>
  <si>
    <t xml:space="preserve">Cloud flooring </t>
  </si>
  <si>
    <t xml:space="preserve">Common floor </t>
  </si>
  <si>
    <t xml:space="preserve">Concrete floor </t>
  </si>
  <si>
    <t xml:space="preserve">Cowhide rug </t>
  </si>
  <si>
    <t xml:space="preserve">Creepy floor </t>
  </si>
  <si>
    <t xml:space="preserve">Daisy meadow </t>
  </si>
  <si>
    <t xml:space="preserve">Dig-site floor </t>
  </si>
  <si>
    <t xml:space="preserve">Diner tile </t>
  </si>
  <si>
    <t xml:space="preserve">Dotted rug </t>
  </si>
  <si>
    <t xml:space="preserve">Egg floor </t>
  </si>
  <si>
    <t xml:space="preserve">Exhibit-room floor </t>
  </si>
  <si>
    <t xml:space="preserve">Exotic rug </t>
  </si>
  <si>
    <t xml:space="preserve">Exquisite rug </t>
  </si>
  <si>
    <t xml:space="preserve">Fancy carpet </t>
  </si>
  <si>
    <t xml:space="preserve">Flower pop carpet </t>
  </si>
  <si>
    <t xml:space="preserve">Forest floor </t>
  </si>
  <si>
    <t xml:space="preserve">Golden carpet </t>
  </si>
  <si>
    <t xml:space="preserve">Gorgeous floor </t>
  </si>
  <si>
    <t xml:space="preserve">Gracie carpet </t>
  </si>
  <si>
    <t xml:space="preserve">Green rug </t>
  </si>
  <si>
    <t xml:space="preserve">Harvest rug </t>
  </si>
  <si>
    <t xml:space="preserve">Hopscotch floor </t>
  </si>
  <si>
    <t xml:space="preserve">Ice floor </t>
  </si>
  <si>
    <t xml:space="preserve">Illusion floor </t>
  </si>
  <si>
    <t xml:space="preserve">Imperial tile </t>
  </si>
  <si>
    <t xml:space="preserve">Jingle carpet </t>
  </si>
  <si>
    <t xml:space="preserve">Jungle floor </t>
  </si>
  <si>
    <t xml:space="preserve">Kiddie carpet </t>
  </si>
  <si>
    <t xml:space="preserve">Kitchen flooring </t>
  </si>
  <si>
    <t xml:space="preserve">Kitchen tile </t>
  </si>
  <si>
    <t xml:space="preserve">Kitschy tile </t>
  </si>
  <si>
    <t xml:space="preserve">Lab floor </t>
  </si>
  <si>
    <t xml:space="preserve">Ladybug carpet </t>
  </si>
  <si>
    <t xml:space="preserve">Lovely carpet </t>
  </si>
  <si>
    <t xml:space="preserve">Lunar surface </t>
  </si>
  <si>
    <t xml:space="preserve">Marine pop floor </t>
  </si>
  <si>
    <t xml:space="preserve">Maze floor </t>
  </si>
  <si>
    <t xml:space="preserve">Mermaid carpet </t>
  </si>
  <si>
    <t xml:space="preserve">Modern tile </t>
  </si>
  <si>
    <t xml:space="preserve">Modern wood flooring </t>
  </si>
  <si>
    <t xml:space="preserve">Mosaic tile </t>
  </si>
  <si>
    <t xml:space="preserve">Mossy carpet </t>
  </si>
  <si>
    <t xml:space="preserve">Museum floor </t>
  </si>
  <si>
    <t xml:space="preserve">Music-room floor </t>
  </si>
  <si>
    <t xml:space="preserve">Neutral floor </t>
  </si>
  <si>
    <t xml:space="preserve">Notebook floor </t>
  </si>
  <si>
    <t xml:space="preserve">Office flooring </t>
  </si>
  <si>
    <t xml:space="preserve">Old board floor </t>
  </si>
  <si>
    <t xml:space="preserve">Opulent rug </t>
  </si>
  <si>
    <t xml:space="preserve">Ornate rug </t>
  </si>
  <si>
    <t xml:space="preserve">Paintball floor </t>
  </si>
  <si>
    <t xml:space="preserve">Palace tile </t>
  </si>
  <si>
    <t xml:space="preserve">Parquet floor </t>
  </si>
  <si>
    <t xml:space="preserve">Pastel-dot rug </t>
  </si>
  <si>
    <t xml:space="preserve">Pavé floor </t>
  </si>
  <si>
    <t xml:space="preserve">Plank flooring </t>
  </si>
  <si>
    <t xml:space="preserve">Planked tatami </t>
  </si>
  <si>
    <t xml:space="preserve">Playroom rug </t>
  </si>
  <si>
    <t xml:space="preserve">Plaza tile </t>
  </si>
  <si>
    <t xml:space="preserve">Plush carpet </t>
  </si>
  <si>
    <t xml:space="preserve">Princess carpet </t>
  </si>
  <si>
    <t xml:space="preserve">Ramshackle floor </t>
  </si>
  <si>
    <t xml:space="preserve">Ranch flooring </t>
  </si>
  <si>
    <t xml:space="preserve">Red tile </t>
  </si>
  <si>
    <t xml:space="preserve">Regal carpet </t>
  </si>
  <si>
    <t xml:space="preserve">Robo-floor </t>
  </si>
  <si>
    <t xml:space="preserve">Rococo floor </t>
  </si>
  <si>
    <t xml:space="preserve">Round carpet </t>
  </si>
  <si>
    <t xml:space="preserve">Saharah's desert </t>
  </si>
  <si>
    <t xml:space="preserve">Sand garden </t>
  </si>
  <si>
    <t xml:space="preserve">Sandlot </t>
  </si>
  <si>
    <t xml:space="preserve">Sci-fi floor </t>
  </si>
  <si>
    <t xml:space="preserve">Shanty mat </t>
  </si>
  <si>
    <t xml:space="preserve">Ship deck </t>
  </si>
  <si>
    <t xml:space="preserve">Sidewalk </t>
  </si>
  <si>
    <t xml:space="preserve">Ski-slope floor </t>
  </si>
  <si>
    <t xml:space="preserve">Slate flooring </t>
  </si>
  <si>
    <t xml:space="preserve">Sleek carpet </t>
  </si>
  <si>
    <t xml:space="preserve">Sloppy carpet </t>
  </si>
  <si>
    <t xml:space="preserve">Snowman carpet </t>
  </si>
  <si>
    <t xml:space="preserve">Spooky carpet </t>
  </si>
  <si>
    <t xml:space="preserve">Sporty floor </t>
  </si>
  <si>
    <t xml:space="preserve">Steel flooring </t>
  </si>
  <si>
    <t xml:space="preserve">Stone tile </t>
  </si>
  <si>
    <t xml:space="preserve">Stripe carpet </t>
  </si>
  <si>
    <t xml:space="preserve">Sweets floor </t>
  </si>
  <si>
    <t xml:space="preserve">Tartan rug </t>
  </si>
  <si>
    <t xml:space="preserve">Tatami </t>
  </si>
  <si>
    <t xml:space="preserve">Tent rug </t>
  </si>
  <si>
    <t xml:space="preserve">Tropical floor </t>
  </si>
  <si>
    <t xml:space="preserve">Underwater floor </t>
  </si>
  <si>
    <t xml:space="preserve">Western desert </t>
  </si>
  <si>
    <t>Wildflower floor</t>
  </si>
  <si>
    <t xml:space="preserve">24-hour-shop uniform </t>
  </si>
  <si>
    <t xml:space="preserve">A tee </t>
  </si>
  <si>
    <t xml:space="preserve">Acid-washed jacket </t>
  </si>
  <si>
    <t xml:space="preserve">After-school jacket </t>
  </si>
  <si>
    <t xml:space="preserve">Airy tee </t>
  </si>
  <si>
    <t xml:space="preserve">Amethyst shirt </t>
  </si>
  <si>
    <t xml:space="preserve">Amethyst tee </t>
  </si>
  <si>
    <t xml:space="preserve">Aqua polka tank </t>
  </si>
  <si>
    <t xml:space="preserve">Aqua polka tee </t>
  </si>
  <si>
    <t xml:space="preserve">Arctic-camo shirt </t>
  </si>
  <si>
    <t xml:space="preserve">Arctic-camo tee </t>
  </si>
  <si>
    <t xml:space="preserve">Argyle knit shirt </t>
  </si>
  <si>
    <t xml:space="preserve">Armor suit </t>
  </si>
  <si>
    <t xml:space="preserve">Aurora knit shirt </t>
  </si>
  <si>
    <t xml:space="preserve">Bad plaid shirt </t>
  </si>
  <si>
    <t xml:space="preserve">Bad plaid tee </t>
  </si>
  <si>
    <t xml:space="preserve">Barber tee </t>
  </si>
  <si>
    <t xml:space="preserve">Baseball shirt </t>
  </si>
  <si>
    <t xml:space="preserve">Basketball tank </t>
  </si>
  <si>
    <t xml:space="preserve">BB tee </t>
  </si>
  <si>
    <t xml:space="preserve">Beaded shirt </t>
  </si>
  <si>
    <t xml:space="preserve">Beaded tank </t>
  </si>
  <si>
    <t xml:space="preserve">Bear costume </t>
  </si>
  <si>
    <t xml:space="preserve">Bear shirt </t>
  </si>
  <si>
    <t xml:space="preserve">Bear tee </t>
  </si>
  <si>
    <t xml:space="preserve">Beatnik shirt </t>
  </si>
  <si>
    <t xml:space="preserve">Beatnik tank </t>
  </si>
  <si>
    <t xml:space="preserve">Beatnik tee </t>
  </si>
  <si>
    <t xml:space="preserve">Beige emblem blazer </t>
  </si>
  <si>
    <t xml:space="preserve">Beige knit shirt </t>
  </si>
  <si>
    <t xml:space="preserve">Big bro's tee </t>
  </si>
  <si>
    <t xml:space="preserve">Big-dot tank </t>
  </si>
  <si>
    <t xml:space="preserve">Big-dot tee </t>
  </si>
  <si>
    <t xml:space="preserve">Big-star tee </t>
  </si>
  <si>
    <t xml:space="preserve">Black flannel shirt </t>
  </si>
  <si>
    <t xml:space="preserve">Black letter jacket </t>
  </si>
  <si>
    <t xml:space="preserve">Black track jacket </t>
  </si>
  <si>
    <t xml:space="preserve">Black-denim jacket </t>
  </si>
  <si>
    <t xml:space="preserve">Blossom tee </t>
  </si>
  <si>
    <t xml:space="preserve">Blue aloha tee </t>
  </si>
  <si>
    <t xml:space="preserve">Blue argyle shirt </t>
  </si>
  <si>
    <t xml:space="preserve">Blue argyle tank </t>
  </si>
  <si>
    <t xml:space="preserve">Blue argyle tee </t>
  </si>
  <si>
    <t xml:space="preserve">Blue diamond shirt </t>
  </si>
  <si>
    <t xml:space="preserve">Blue diamond tee </t>
  </si>
  <si>
    <t xml:space="preserve">Blue down jacket </t>
  </si>
  <si>
    <t xml:space="preserve">Blue flannel shirt </t>
  </si>
  <si>
    <t xml:space="preserve">Blue gym tee </t>
  </si>
  <si>
    <t xml:space="preserve">Blue jacket </t>
  </si>
  <si>
    <t xml:space="preserve">Blue letter jacket </t>
  </si>
  <si>
    <t xml:space="preserve">Blue pj shirt </t>
  </si>
  <si>
    <t xml:space="preserve">Blue plaid shirt </t>
  </si>
  <si>
    <t xml:space="preserve">Blue plaid tee </t>
  </si>
  <si>
    <t xml:space="preserve">Blue ringmaster coat </t>
  </si>
  <si>
    <t xml:space="preserve">Blue tartan shirt </t>
  </si>
  <si>
    <t xml:space="preserve">Blue tartan tee </t>
  </si>
  <si>
    <t xml:space="preserve">Blue tie-dye tank </t>
  </si>
  <si>
    <t xml:space="preserve">Blue tie-dye tee </t>
  </si>
  <si>
    <t xml:space="preserve">Blue track jacket </t>
  </si>
  <si>
    <t xml:space="preserve">Blue-bar shirt </t>
  </si>
  <si>
    <t xml:space="preserve">Blue-bar tee </t>
  </si>
  <si>
    <t xml:space="preserve">Blue-check shirt </t>
  </si>
  <si>
    <t xml:space="preserve">Blue-check tee </t>
  </si>
  <si>
    <t xml:space="preserve">Blue-grid shirt </t>
  </si>
  <si>
    <t xml:space="preserve">Blue-grid tee </t>
  </si>
  <si>
    <t xml:space="preserve">Blue-stripe shirt </t>
  </si>
  <si>
    <t xml:space="preserve">Blue-stripe tee </t>
  </si>
  <si>
    <t xml:space="preserve">Blue-zap suit </t>
  </si>
  <si>
    <t xml:space="preserve">Bold-check tee </t>
  </si>
  <si>
    <t xml:space="preserve">Bone shirt </t>
  </si>
  <si>
    <t xml:space="preserve">Bright tee </t>
  </si>
  <si>
    <t xml:space="preserve">Brown-bar shirt </t>
  </si>
  <si>
    <t xml:space="preserve">Brown-bar tee </t>
  </si>
  <si>
    <t xml:space="preserve">Bubble tank </t>
  </si>
  <si>
    <t xml:space="preserve">Bubble tee </t>
  </si>
  <si>
    <t xml:space="preserve">Bubble-gum shirt </t>
  </si>
  <si>
    <t xml:space="preserve">Bubble-gum tee </t>
  </si>
  <si>
    <t xml:space="preserve">Bunny shirt </t>
  </si>
  <si>
    <t xml:space="preserve">Bunny tee </t>
  </si>
  <si>
    <t xml:space="preserve">Café tee </t>
  </si>
  <si>
    <t xml:space="preserve">Café uniform </t>
  </si>
  <si>
    <t xml:space="preserve">Camel shirt </t>
  </si>
  <si>
    <t xml:space="preserve">Canary shirt </t>
  </si>
  <si>
    <t xml:space="preserve">Candy gingham shirt </t>
  </si>
  <si>
    <t xml:space="preserve">Candy gingham tee </t>
  </si>
  <si>
    <t xml:space="preserve">Captain's jacket </t>
  </si>
  <si>
    <t xml:space="preserve">Caterpillar tank </t>
  </si>
  <si>
    <t xml:space="preserve">Cavalier shirt </t>
  </si>
  <si>
    <t xml:space="preserve">Caveman tank </t>
  </si>
  <si>
    <t xml:space="preserve">Chain-gang shirt </t>
  </si>
  <si>
    <t xml:space="preserve">Chain-gang tee </t>
  </si>
  <si>
    <t xml:space="preserve">Checkerboard shirt </t>
  </si>
  <si>
    <t xml:space="preserve">Checkerboard tee </t>
  </si>
  <si>
    <t xml:space="preserve">Checkered tee </t>
  </si>
  <si>
    <t xml:space="preserve">Chef's outfit </t>
  </si>
  <si>
    <t xml:space="preserve">Cherry tee </t>
  </si>
  <si>
    <t xml:space="preserve">Chevron shirt </t>
  </si>
  <si>
    <t xml:space="preserve">Chichi-print tee </t>
  </si>
  <si>
    <t xml:space="preserve">Chick tee </t>
  </si>
  <si>
    <t xml:space="preserve">Chocomint tee </t>
  </si>
  <si>
    <t xml:space="preserve">Circuit tank </t>
  </si>
  <si>
    <t xml:space="preserve">Citrus tank </t>
  </si>
  <si>
    <t xml:space="preserve">Citrus tee </t>
  </si>
  <si>
    <t xml:space="preserve">Clerk's shirt </t>
  </si>
  <si>
    <t xml:space="preserve">Cloudy tee </t>
  </si>
  <si>
    <t xml:space="preserve">Club tee </t>
  </si>
  <si>
    <t xml:space="preserve">Comfy sweater </t>
  </si>
  <si>
    <t xml:space="preserve">Concierge shirt </t>
  </si>
  <si>
    <t xml:space="preserve">Cool tank </t>
  </si>
  <si>
    <t xml:space="preserve">Coral tank </t>
  </si>
  <si>
    <t xml:space="preserve">Coral tee </t>
  </si>
  <si>
    <t xml:space="preserve">Corseted shirt </t>
  </si>
  <si>
    <t xml:space="preserve">Cow tank </t>
  </si>
  <si>
    <t xml:space="preserve">Cow tee </t>
  </si>
  <si>
    <t xml:space="preserve">Crewel tee </t>
  </si>
  <si>
    <t xml:space="preserve">Crossing shirt </t>
  </si>
  <si>
    <t xml:space="preserve">Cyan argyle shirt </t>
  </si>
  <si>
    <t xml:space="preserve">Cyan argyle tank </t>
  </si>
  <si>
    <t xml:space="preserve">Cyan argyle tee </t>
  </si>
  <si>
    <t xml:space="preserve">Cycling shirt </t>
  </si>
  <si>
    <t xml:space="preserve">Cycling tee </t>
  </si>
  <si>
    <t xml:space="preserve">Daisy tee </t>
  </si>
  <si>
    <t xml:space="preserve">Danger tee </t>
  </si>
  <si>
    <t xml:space="preserve">Dapper shirt </t>
  </si>
  <si>
    <t xml:space="preserve">Dapper tee </t>
  </si>
  <si>
    <t xml:space="preserve">Dark polka shirt </t>
  </si>
  <si>
    <t xml:space="preserve">Dark polka tee </t>
  </si>
  <si>
    <t xml:space="preserve">Dawn tank </t>
  </si>
  <si>
    <t xml:space="preserve">Dawn tee </t>
  </si>
  <si>
    <t xml:space="preserve">Dazed shirt </t>
  </si>
  <si>
    <t xml:space="preserve">Dazed tee </t>
  </si>
  <si>
    <t xml:space="preserve">Deep-blue tank </t>
  </si>
  <si>
    <t xml:space="preserve">Deep-blue tee </t>
  </si>
  <si>
    <t xml:space="preserve">Deer shirt </t>
  </si>
  <si>
    <t xml:space="preserve">Denim jacket </t>
  </si>
  <si>
    <t xml:space="preserve">Denim vest </t>
  </si>
  <si>
    <t xml:space="preserve">Desert-camo shirt </t>
  </si>
  <si>
    <t xml:space="preserve">Desert-camo tee </t>
  </si>
  <si>
    <t xml:space="preserve">Detective outfit </t>
  </si>
  <si>
    <t xml:space="preserve">Diamond tee </t>
  </si>
  <si>
    <t xml:space="preserve">Dice tank </t>
  </si>
  <si>
    <t xml:space="preserve">Doctor's coat </t>
  </si>
  <si>
    <t xml:space="preserve">Dogtooth shirt </t>
  </si>
  <si>
    <t xml:space="preserve">Dogtooth tee </t>
  </si>
  <si>
    <t xml:space="preserve">Dr. Shrunk's jacket </t>
  </si>
  <si>
    <t xml:space="preserve">Dragon jacket </t>
  </si>
  <si>
    <t xml:space="preserve">Dragon suit </t>
  </si>
  <si>
    <t xml:space="preserve">Dreamy tee </t>
  </si>
  <si>
    <t xml:space="preserve">Earthy knit shirt </t>
  </si>
  <si>
    <t xml:space="preserve">Eight-ball tee </t>
  </si>
  <si>
    <t xml:space="preserve">Elephant shirt </t>
  </si>
  <si>
    <t xml:space="preserve">Elephant tee </t>
  </si>
  <si>
    <t xml:space="preserve">Explorer tee </t>
  </si>
  <si>
    <t xml:space="preserve">Fall leaf shirt </t>
  </si>
  <si>
    <t xml:space="preserve">Fall leaf tee </t>
  </si>
  <si>
    <t xml:space="preserve">Fall plaid shirt </t>
  </si>
  <si>
    <t xml:space="preserve">Fall plaid tee </t>
  </si>
  <si>
    <t xml:space="preserve">Fern shirt </t>
  </si>
  <si>
    <t xml:space="preserve">Fern tee </t>
  </si>
  <si>
    <t xml:space="preserve">Festivale tank </t>
  </si>
  <si>
    <t xml:space="preserve">Fiendish shirt </t>
  </si>
  <si>
    <t xml:space="preserve">Firefighter shirt </t>
  </si>
  <si>
    <t xml:space="preserve">Fish tee </t>
  </si>
  <si>
    <t xml:space="preserve">Fishing vest </t>
  </si>
  <si>
    <t xml:space="preserve">Five-ball tee </t>
  </si>
  <si>
    <t xml:space="preserve">Flame shirt </t>
  </si>
  <si>
    <t xml:space="preserve">Flame tee </t>
  </si>
  <si>
    <t xml:space="preserve">Flan tank </t>
  </si>
  <si>
    <t xml:space="preserve">Flight-crew shirt </t>
  </si>
  <si>
    <t xml:space="preserve">Floral knit tee </t>
  </si>
  <si>
    <t xml:space="preserve">Flowery tee </t>
  </si>
  <si>
    <t xml:space="preserve">Folk shirt </t>
  </si>
  <si>
    <t xml:space="preserve">Folk tunic </t>
  </si>
  <si>
    <t xml:space="preserve">Four-ball tee </t>
  </si>
  <si>
    <t xml:space="preserve">Fresh tank </t>
  </si>
  <si>
    <t xml:space="preserve">Fresh tee </t>
  </si>
  <si>
    <t xml:space="preserve">Frog costume </t>
  </si>
  <si>
    <t xml:space="preserve">Frog shirt </t>
  </si>
  <si>
    <t xml:space="preserve">Frog tee </t>
  </si>
  <si>
    <t xml:space="preserve">Funky-dot tank </t>
  </si>
  <si>
    <t xml:space="preserve">Funky-dot tee </t>
  </si>
  <si>
    <t xml:space="preserve">Future tank </t>
  </si>
  <si>
    <t xml:space="preserve">Garden tank </t>
  </si>
  <si>
    <t xml:space="preserve">Gelato shirt </t>
  </si>
  <si>
    <t xml:space="preserve">Gelato tee </t>
  </si>
  <si>
    <t xml:space="preserve">Genie shirt </t>
  </si>
  <si>
    <t xml:space="preserve">Genie vest </t>
  </si>
  <si>
    <t xml:space="preserve">Giraffe tank </t>
  </si>
  <si>
    <t xml:space="preserve">Giraffe tee </t>
  </si>
  <si>
    <t xml:space="preserve">Go-go shirt </t>
  </si>
  <si>
    <t xml:space="preserve">Gold-armor suit </t>
  </si>
  <si>
    <t xml:space="preserve">Gold-bar shirt </t>
  </si>
  <si>
    <t xml:space="preserve">Gold-bar tee </t>
  </si>
  <si>
    <t xml:space="preserve">Gracie tank </t>
  </si>
  <si>
    <t xml:space="preserve">Grape tank </t>
  </si>
  <si>
    <t xml:space="preserve">Grape tee </t>
  </si>
  <si>
    <t xml:space="preserve">Grape-stripe shirt </t>
  </si>
  <si>
    <t xml:space="preserve">Grape-stripe tee </t>
  </si>
  <si>
    <t xml:space="preserve">Grass tee </t>
  </si>
  <si>
    <t xml:space="preserve">Gray parka </t>
  </si>
  <si>
    <t xml:space="preserve">Gray tank </t>
  </si>
  <si>
    <t xml:space="preserve">Gray tartan shirt </t>
  </si>
  <si>
    <t xml:space="preserve">Gray tartan tee </t>
  </si>
  <si>
    <t xml:space="preserve">Green emblem blazer </t>
  </si>
  <si>
    <t xml:space="preserve">Green gym tee </t>
  </si>
  <si>
    <t xml:space="preserve">Green tie-dye tank </t>
  </si>
  <si>
    <t xml:space="preserve">Green tie-dye tee </t>
  </si>
  <si>
    <t xml:space="preserve">Green warm-up jacket </t>
  </si>
  <si>
    <t xml:space="preserve">Green-bar shirt </t>
  </si>
  <si>
    <t xml:space="preserve">Green-bar tee </t>
  </si>
  <si>
    <t xml:space="preserve">Green-stripe tank </t>
  </si>
  <si>
    <t xml:space="preserve">Green-zap suit </t>
  </si>
  <si>
    <t xml:space="preserve">Groovy tank </t>
  </si>
  <si>
    <t xml:space="preserve">Groovy tee </t>
  </si>
  <si>
    <t xml:space="preserve">Gumdrop tee </t>
  </si>
  <si>
    <t xml:space="preserve">Hanten shirt </t>
  </si>
  <si>
    <t xml:space="preserve">Happi tee </t>
  </si>
  <si>
    <t xml:space="preserve">Heart tee </t>
  </si>
  <si>
    <t xml:space="preserve">Hero's clothes </t>
  </si>
  <si>
    <t xml:space="preserve">HHA jacket </t>
  </si>
  <si>
    <t xml:space="preserve">HHA tee </t>
  </si>
  <si>
    <t xml:space="preserve">Hot spring tee </t>
  </si>
  <si>
    <t xml:space="preserve">Hot-dog tank </t>
  </si>
  <si>
    <t xml:space="preserve">Iberian jacket </t>
  </si>
  <si>
    <t xml:space="preserve">Icy shirt </t>
  </si>
  <si>
    <t xml:space="preserve">Imperial shirt </t>
  </si>
  <si>
    <t xml:space="preserve">Jade plaid shirt </t>
  </si>
  <si>
    <t xml:space="preserve">Jade plaid tee </t>
  </si>
  <si>
    <t xml:space="preserve">Jagged tank </t>
  </si>
  <si>
    <t xml:space="preserve">Jagged tee </t>
  </si>
  <si>
    <t xml:space="preserve">Jester shirt </t>
  </si>
  <si>
    <t xml:space="preserve">Jester tank </t>
  </si>
  <si>
    <t xml:space="preserve">Jinbei top </t>
  </si>
  <si>
    <t xml:space="preserve">Jockey shirt </t>
  </si>
  <si>
    <t xml:space="preserve">Jungle-camo shirt </t>
  </si>
  <si>
    <t xml:space="preserve">Jungle-camo tee </t>
  </si>
  <si>
    <t xml:space="preserve">Kanji tee </t>
  </si>
  <si>
    <t xml:space="preserve">Kappa costume </t>
  </si>
  <si>
    <t xml:space="preserve">Kiddie tee </t>
  </si>
  <si>
    <t xml:space="preserve">Kids' smock </t>
  </si>
  <si>
    <t xml:space="preserve">Kiwi tank </t>
  </si>
  <si>
    <t xml:space="preserve">Kiwi tee </t>
  </si>
  <si>
    <t xml:space="preserve">Kung-fu shirt </t>
  </si>
  <si>
    <t xml:space="preserve">Kung-fu tee </t>
  </si>
  <si>
    <t xml:space="preserve">Lacy white tank </t>
  </si>
  <si>
    <t xml:space="preserve">Ladybug tank </t>
  </si>
  <si>
    <t xml:space="preserve">Leaf tee </t>
  </si>
  <si>
    <t xml:space="preserve">Lemon gingham shirt </t>
  </si>
  <si>
    <t xml:space="preserve">Lemon gingham tee </t>
  </si>
  <si>
    <t xml:space="preserve">Leopard tank </t>
  </si>
  <si>
    <t xml:space="preserve">Leopard tee </t>
  </si>
  <si>
    <t xml:space="preserve">Li'l bro's tee </t>
  </si>
  <si>
    <t xml:space="preserve">Lightning tee </t>
  </si>
  <si>
    <t xml:space="preserve">Lite polka shirt </t>
  </si>
  <si>
    <t xml:space="preserve">Lite polka tee </t>
  </si>
  <si>
    <t xml:space="preserve">Lively knit shirt </t>
  </si>
  <si>
    <t xml:space="preserve">Lotus tee </t>
  </si>
  <si>
    <t xml:space="preserve">Loud bloom tee </t>
  </si>
  <si>
    <t xml:space="preserve">Lovely tee </t>
  </si>
  <si>
    <t xml:space="preserve">Melon gingham shirt </t>
  </si>
  <si>
    <t xml:space="preserve">Melon gingham tee </t>
  </si>
  <si>
    <t xml:space="preserve">Melon shirt </t>
  </si>
  <si>
    <t xml:space="preserve">Melon tee </t>
  </si>
  <si>
    <t xml:space="preserve">Military uniform </t>
  </si>
  <si>
    <t xml:space="preserve">Mint gingham shirt </t>
  </si>
  <si>
    <t xml:space="preserve">Mint gingham tee </t>
  </si>
  <si>
    <t xml:space="preserve">Mint shirt </t>
  </si>
  <si>
    <t xml:space="preserve">Misty tank </t>
  </si>
  <si>
    <t xml:space="preserve">Misty tee </t>
  </si>
  <si>
    <t xml:space="preserve">Mod shirt </t>
  </si>
  <si>
    <t xml:space="preserve">Moldy shirt </t>
  </si>
  <si>
    <t xml:space="preserve">Monkey shirt </t>
  </si>
  <si>
    <t xml:space="preserve">Mummy shirt </t>
  </si>
  <si>
    <t xml:space="preserve">MVP shirt </t>
  </si>
  <si>
    <t xml:space="preserve">MVP tee </t>
  </si>
  <si>
    <t xml:space="preserve">Natty shirt </t>
  </si>
  <si>
    <t xml:space="preserve">Natty tee </t>
  </si>
  <si>
    <t xml:space="preserve">Nebula shirt </t>
  </si>
  <si>
    <t xml:space="preserve">Nebula tee </t>
  </si>
  <si>
    <t xml:space="preserve">New spring tee </t>
  </si>
  <si>
    <t xml:space="preserve">Night-sky tee </t>
  </si>
  <si>
    <t xml:space="preserve">Nine-ball tee </t>
  </si>
  <si>
    <t xml:space="preserve">Ninja shirt </t>
  </si>
  <si>
    <t xml:space="preserve">No. 1 shirt </t>
  </si>
  <si>
    <t xml:space="preserve">No. 2 shirt </t>
  </si>
  <si>
    <t xml:space="preserve">No. 23 shirt </t>
  </si>
  <si>
    <t xml:space="preserve">No. 3 shirt </t>
  </si>
  <si>
    <t xml:space="preserve">No. 4 shirt </t>
  </si>
  <si>
    <t xml:space="preserve">No. 5 shirt </t>
  </si>
  <si>
    <t xml:space="preserve">No. 67 shirt </t>
  </si>
  <si>
    <t xml:space="preserve">Noble shirt </t>
  </si>
  <si>
    <t xml:space="preserve">Noodle tee </t>
  </si>
  <si>
    <t xml:space="preserve">One-ball tee </t>
  </si>
  <si>
    <t xml:space="preserve">Optical shirt </t>
  </si>
  <si>
    <t xml:space="preserve">Optical tank </t>
  </si>
  <si>
    <t xml:space="preserve">Orange jacket </t>
  </si>
  <si>
    <t xml:space="preserve">Orange tie-dye tank </t>
  </si>
  <si>
    <t xml:space="preserve">Orange tie-dye tee </t>
  </si>
  <si>
    <t xml:space="preserve">Painter's shirt </t>
  </si>
  <si>
    <t xml:space="preserve">Painter's tee </t>
  </si>
  <si>
    <t xml:space="preserve">Pastel-stripe tee </t>
  </si>
  <si>
    <t xml:space="preserve">Paw tee </t>
  </si>
  <si>
    <t xml:space="preserve">Peachy tank </t>
  </si>
  <si>
    <t xml:space="preserve">Peachy tee </t>
  </si>
  <si>
    <t xml:space="preserve">Peacoat </t>
  </si>
  <si>
    <t xml:space="preserve">Pep-squad tank </t>
  </si>
  <si>
    <t xml:space="preserve">Pep-squad tee </t>
  </si>
  <si>
    <t xml:space="preserve">Periwinkle tee </t>
  </si>
  <si>
    <t xml:space="preserve">Picnic shirt </t>
  </si>
  <si>
    <t xml:space="preserve">Picnic tee </t>
  </si>
  <si>
    <t xml:space="preserve">Pink argyle shirt </t>
  </si>
  <si>
    <t xml:space="preserve">Pink argyle tank </t>
  </si>
  <si>
    <t xml:space="preserve">Pink argyle tee </t>
  </si>
  <si>
    <t xml:space="preserve">Pink parka </t>
  </si>
  <si>
    <t xml:space="preserve">Pink pj shirt </t>
  </si>
  <si>
    <t xml:space="preserve">Pink tank </t>
  </si>
  <si>
    <t xml:space="preserve">Pink tartan shirt </t>
  </si>
  <si>
    <t xml:space="preserve">Pink tartan tee </t>
  </si>
  <si>
    <t xml:space="preserve">Pink wave tank </t>
  </si>
  <si>
    <t xml:space="preserve">Pink-bud tank </t>
  </si>
  <si>
    <t xml:space="preserve">Pleather vest </t>
  </si>
  <si>
    <t xml:space="preserve">Pop bloom tee </t>
  </si>
  <si>
    <t xml:space="preserve">Preppy shirt </t>
  </si>
  <si>
    <t xml:space="preserve">Prism tee </t>
  </si>
  <si>
    <t xml:space="preserve">Pulse shirt </t>
  </si>
  <si>
    <t xml:space="preserve">Pulse tank </t>
  </si>
  <si>
    <t xml:space="preserve">Purple tie-dye tank </t>
  </si>
  <si>
    <t xml:space="preserve">Purple tie-dye tee </t>
  </si>
  <si>
    <t xml:space="preserve">Racer 6 tee </t>
  </si>
  <si>
    <t xml:space="preserve">Racer tee </t>
  </si>
  <si>
    <t xml:space="preserve">Racing shirt </t>
  </si>
  <si>
    <t xml:space="preserve">Raglan shirt </t>
  </si>
  <si>
    <t xml:space="preserve">Raglan tee </t>
  </si>
  <si>
    <t xml:space="preserve">Rainbow tank </t>
  </si>
  <si>
    <t xml:space="preserve">Rainbow tee </t>
  </si>
  <si>
    <t xml:space="preserve">Rally tank </t>
  </si>
  <si>
    <t xml:space="preserve">Rally tee </t>
  </si>
  <si>
    <t xml:space="preserve">Red aloha tee </t>
  </si>
  <si>
    <t xml:space="preserve">Red argyle shirt </t>
  </si>
  <si>
    <t xml:space="preserve">Red argyle tee </t>
  </si>
  <si>
    <t xml:space="preserve">Red down jacket </t>
  </si>
  <si>
    <t xml:space="preserve">Red flannel shirt </t>
  </si>
  <si>
    <t xml:space="preserve">Red gym tee </t>
  </si>
  <si>
    <t xml:space="preserve">Red jacket </t>
  </si>
  <si>
    <t xml:space="preserve">Red letter jacket </t>
  </si>
  <si>
    <t xml:space="preserve">Red ringmaster coat </t>
  </si>
  <si>
    <t xml:space="preserve">Red tie-dye tank </t>
  </si>
  <si>
    <t xml:space="preserve">Red tie-dye tee </t>
  </si>
  <si>
    <t xml:space="preserve">Red warm-up suit </t>
  </si>
  <si>
    <t xml:space="preserve">Red-bar shirt </t>
  </si>
  <si>
    <t xml:space="preserve">Red-bar tee </t>
  </si>
  <si>
    <t xml:space="preserve">Red-check shirt </t>
  </si>
  <si>
    <t xml:space="preserve">Red-check tee </t>
  </si>
  <si>
    <t xml:space="preserve">Red-grid shirt </t>
  </si>
  <si>
    <t xml:space="preserve">Red-grid tee </t>
  </si>
  <si>
    <t xml:space="preserve">Red-zap suit </t>
  </si>
  <si>
    <t xml:space="preserve">Reggae tank </t>
  </si>
  <si>
    <t xml:space="preserve">Reggae tee </t>
  </si>
  <si>
    <t xml:space="preserve">Relay tank </t>
  </si>
  <si>
    <t xml:space="preserve">Rose tee </t>
  </si>
  <si>
    <t xml:space="preserve">Rose-sky tee </t>
  </si>
  <si>
    <t xml:space="preserve">Royal shirt </t>
  </si>
  <si>
    <t xml:space="preserve">Rugby shirt </t>
  </si>
  <si>
    <t xml:space="preserve">Rugby tee </t>
  </si>
  <si>
    <t xml:space="preserve">Sailor's shirt </t>
  </si>
  <si>
    <t xml:space="preserve">Sailor's tee </t>
  </si>
  <si>
    <t xml:space="preserve">Samurai shirt </t>
  </si>
  <si>
    <t xml:space="preserve">Sandwich tank </t>
  </si>
  <si>
    <t xml:space="preserve">Santa coat </t>
  </si>
  <si>
    <t xml:space="preserve">Scale-armor suit </t>
  </si>
  <si>
    <t xml:space="preserve">Scale-print tee </t>
  </si>
  <si>
    <t xml:space="preserve">School jacket </t>
  </si>
  <si>
    <t xml:space="preserve">Security tee </t>
  </si>
  <si>
    <t xml:space="preserve">Seven-ball tee </t>
  </si>
  <si>
    <t xml:space="preserve">Sharp outfit </t>
  </si>
  <si>
    <t xml:space="preserve">Shearling coat </t>
  </si>
  <si>
    <t xml:space="preserve">Silk bloom tee </t>
  </si>
  <si>
    <t xml:space="preserve">Six-ball tee </t>
  </si>
  <si>
    <t xml:space="preserve">Skull shirt </t>
  </si>
  <si>
    <t xml:space="preserve">Skull tee </t>
  </si>
  <si>
    <t xml:space="preserve">Sno-cone tank </t>
  </si>
  <si>
    <t xml:space="preserve">Sno-cone tee </t>
  </si>
  <si>
    <t xml:space="preserve">Snow shirt </t>
  </si>
  <si>
    <t xml:space="preserve">Snowy sweater </t>
  </si>
  <si>
    <t xml:space="preserve">Soccer shirt </t>
  </si>
  <si>
    <t xml:space="preserve">Soccer tee </t>
  </si>
  <si>
    <t xml:space="preserve">Space suit </t>
  </si>
  <si>
    <t xml:space="preserve">Spade tee </t>
  </si>
  <si>
    <t xml:space="preserve">Speedway tee </t>
  </si>
  <si>
    <t xml:space="preserve">Spiderweb tee </t>
  </si>
  <si>
    <t xml:space="preserve">Splendid tee </t>
  </si>
  <si>
    <t xml:space="preserve">Spring shirt </t>
  </si>
  <si>
    <t xml:space="preserve">Star tee </t>
  </si>
  <si>
    <t xml:space="preserve">Straw shirt </t>
  </si>
  <si>
    <t xml:space="preserve">Strawberry tank </t>
  </si>
  <si>
    <t xml:space="preserve">Strawberry tee </t>
  </si>
  <si>
    <t xml:space="preserve">Striking outfit </t>
  </si>
  <si>
    <t xml:space="preserve">Subdued-print tee </t>
  </si>
  <si>
    <t xml:space="preserve">Sundae tank </t>
  </si>
  <si>
    <t xml:space="preserve">Sunflower tee </t>
  </si>
  <si>
    <t xml:space="preserve">Sunset tank </t>
  </si>
  <si>
    <t xml:space="preserve">Sunset tee </t>
  </si>
  <si>
    <t xml:space="preserve">Sweater-vest </t>
  </si>
  <si>
    <t xml:space="preserve">Swell shirt </t>
  </si>
  <si>
    <t xml:space="preserve">Swell tee </t>
  </si>
  <si>
    <t xml:space="preserve">Tacky sweater </t>
  </si>
  <si>
    <t xml:space="preserve">Tan dogtooth shirt </t>
  </si>
  <si>
    <t xml:space="preserve">Tan dogtooth tee </t>
  </si>
  <si>
    <t xml:space="preserve">Tan puffy vest </t>
  </si>
  <si>
    <t xml:space="preserve">Team NTDO tee </t>
  </si>
  <si>
    <t xml:space="preserve">Three-ball tee </t>
  </si>
  <si>
    <t xml:space="preserve">Tiger jacket </t>
  </si>
  <si>
    <t xml:space="preserve">Tiger tank </t>
  </si>
  <si>
    <t xml:space="preserve">Tiger tee </t>
  </si>
  <si>
    <t xml:space="preserve">Tin shirt </t>
  </si>
  <si>
    <t xml:space="preserve">Toad shirt </t>
  </si>
  <si>
    <t xml:space="preserve">Toad tee </t>
  </si>
  <si>
    <t xml:space="preserve">Tropical tank </t>
  </si>
  <si>
    <t xml:space="preserve">Tropical tee </t>
  </si>
  <si>
    <t xml:space="preserve">Tulip tee </t>
  </si>
  <si>
    <t xml:space="preserve">Tuxedo </t>
  </si>
  <si>
    <t xml:space="preserve">Twinkle tank </t>
  </si>
  <si>
    <t xml:space="preserve">Twinkle tee </t>
  </si>
  <si>
    <t xml:space="preserve">Two-ball tee </t>
  </si>
  <si>
    <t xml:space="preserve">Uncommon shirt </t>
  </si>
  <si>
    <t xml:space="preserve">U-R-here tee </t>
  </si>
  <si>
    <t xml:space="preserve">Varia Suit </t>
  </si>
  <si>
    <t xml:space="preserve">Vegetarian shirt </t>
  </si>
  <si>
    <t xml:space="preserve">Vegetarian tee </t>
  </si>
  <si>
    <t xml:space="preserve">Vertigo shirt </t>
  </si>
  <si>
    <t xml:space="preserve">Vertigo tee </t>
  </si>
  <si>
    <t xml:space="preserve">Waffle shirt </t>
  </si>
  <si>
    <t xml:space="preserve">Waffle tee </t>
  </si>
  <si>
    <t xml:space="preserve">Waistcoat </t>
  </si>
  <si>
    <t xml:space="preserve">Watermelon shirt </t>
  </si>
  <si>
    <t xml:space="preserve">Watermelon tee </t>
  </si>
  <si>
    <t xml:space="preserve">Western shirt </t>
  </si>
  <si>
    <t xml:space="preserve">White tuxedo jacket </t>
  </si>
  <si>
    <t xml:space="preserve">Winter sweater </t>
  </si>
  <si>
    <t xml:space="preserve">Work shirt </t>
  </si>
  <si>
    <t xml:space="preserve">Wrap shirt </t>
  </si>
  <si>
    <t xml:space="preserve">Wrestler tank </t>
  </si>
  <si>
    <t xml:space="preserve">Yellow aloha tee </t>
  </si>
  <si>
    <t xml:space="preserve">Yellow tartan shirt </t>
  </si>
  <si>
    <t xml:space="preserve">Yellow tartan tee </t>
  </si>
  <si>
    <t xml:space="preserve">Yellow-bar shirt </t>
  </si>
  <si>
    <t xml:space="preserve">Yellow-bar tee </t>
  </si>
  <si>
    <t xml:space="preserve">Zebra tank </t>
  </si>
  <si>
    <t xml:space="preserve">Zebra tee </t>
  </si>
  <si>
    <t xml:space="preserve">Zipper shirt </t>
  </si>
  <si>
    <t xml:space="preserve">Zipper tank </t>
  </si>
  <si>
    <t xml:space="preserve">Acid-washed pants </t>
  </si>
  <si>
    <t xml:space="preserve">Aloha shorts </t>
  </si>
  <si>
    <t xml:space="preserve">Arctic-camo pants </t>
  </si>
  <si>
    <t xml:space="preserve">Armor pants </t>
  </si>
  <si>
    <t xml:space="preserve">Baseball pants </t>
  </si>
  <si>
    <t xml:space="preserve">Basketball shorts </t>
  </si>
  <si>
    <t xml:space="preserve">Bear-costume pants </t>
  </si>
  <si>
    <t xml:space="preserve">Black formal pants </t>
  </si>
  <si>
    <t xml:space="preserve">Black formal skirt </t>
  </si>
  <si>
    <t xml:space="preserve">Black track pants </t>
  </si>
  <si>
    <t xml:space="preserve">Black-denim pants </t>
  </si>
  <si>
    <t xml:space="preserve">Black-denim skirt </t>
  </si>
  <si>
    <t xml:space="preserve">Blue boxing shorts </t>
  </si>
  <si>
    <t xml:space="preserve">Blue gym shorts </t>
  </si>
  <si>
    <t xml:space="preserve">Blue pj bottoms </t>
  </si>
  <si>
    <t xml:space="preserve">Blue polka shorts </t>
  </si>
  <si>
    <t xml:space="preserve">Blue warm-up pants </t>
  </si>
  <si>
    <t xml:space="preserve">Blue-grid skirt </t>
  </si>
  <si>
    <t xml:space="preserve">Blue-stripe pants </t>
  </si>
  <si>
    <t xml:space="preserve">Blue-zap pants </t>
  </si>
  <si>
    <t xml:space="preserve">Bone pants </t>
  </si>
  <si>
    <t xml:space="preserve">Brown argyle skirt </t>
  </si>
  <si>
    <t xml:space="preserve">Brown formal pants </t>
  </si>
  <si>
    <t xml:space="preserve">Brown plaid shorts </t>
  </si>
  <si>
    <t xml:space="preserve">Cargo pants </t>
  </si>
  <si>
    <t xml:space="preserve">Caveman shorts </t>
  </si>
  <si>
    <t xml:space="preserve">Checkerboard skirt </t>
  </si>
  <si>
    <t xml:space="preserve">Chino pants </t>
  </si>
  <si>
    <t xml:space="preserve">Corseted skirt </t>
  </si>
  <si>
    <t xml:space="preserve">Cow pants </t>
  </si>
  <si>
    <t xml:space="preserve">Cuffed pants </t>
  </si>
  <si>
    <t xml:space="preserve">Dapper skirt </t>
  </si>
  <si>
    <t xml:space="preserve">Dark polka skirt </t>
  </si>
  <si>
    <t xml:space="preserve">Denim skirt </t>
  </si>
  <si>
    <t xml:space="preserve">Desert-camo pants </t>
  </si>
  <si>
    <t xml:space="preserve">Dogtooth pants </t>
  </si>
  <si>
    <t xml:space="preserve">Dragon leggings </t>
  </si>
  <si>
    <t xml:space="preserve">Dry-denim pants </t>
  </si>
  <si>
    <t xml:space="preserve">Dry-denim skirt </t>
  </si>
  <si>
    <t xml:space="preserve">Emerald polka skirt </t>
  </si>
  <si>
    <t xml:space="preserve">Explorer pants </t>
  </si>
  <si>
    <t xml:space="preserve">Festivale pants </t>
  </si>
  <si>
    <t xml:space="preserve">Firefighter pants </t>
  </si>
  <si>
    <t xml:space="preserve">Flame pants </t>
  </si>
  <si>
    <t xml:space="preserve">Frog-costume pants </t>
  </si>
  <si>
    <t xml:space="preserve">Funky-dot skirt </t>
  </si>
  <si>
    <t xml:space="preserve">Genie pants </t>
  </si>
  <si>
    <t xml:space="preserve">Giraffe pants </t>
  </si>
  <si>
    <t xml:space="preserve">Gold-armor pants </t>
  </si>
  <si>
    <t xml:space="preserve">Grass skirt </t>
  </si>
  <si>
    <t xml:space="preserve">Gray formal pants </t>
  </si>
  <si>
    <t xml:space="preserve">Gray formal skirt </t>
  </si>
  <si>
    <t xml:space="preserve">Gray sweatpants </t>
  </si>
  <si>
    <t xml:space="preserve">Gray tartan skirt </t>
  </si>
  <si>
    <t xml:space="preserve">Gray-stripe pants </t>
  </si>
  <si>
    <t xml:space="preserve">Green gym shorts </t>
  </si>
  <si>
    <t xml:space="preserve">Green plaid shorts </t>
  </si>
  <si>
    <t xml:space="preserve">Green tartan pants </t>
  </si>
  <si>
    <t xml:space="preserve">Green warm-up pants </t>
  </si>
  <si>
    <t xml:space="preserve">Green-zap pants </t>
  </si>
  <si>
    <t xml:space="preserve">Hero's pants </t>
  </si>
  <si>
    <t xml:space="preserve">Hot spring skirt </t>
  </si>
  <si>
    <t xml:space="preserve">Iberian pants </t>
  </si>
  <si>
    <t xml:space="preserve">Imperial pants </t>
  </si>
  <si>
    <t xml:space="preserve">Jester pants </t>
  </si>
  <si>
    <t xml:space="preserve">Jinbei shorts </t>
  </si>
  <si>
    <t xml:space="preserve">Jungle-camo pants </t>
  </si>
  <si>
    <t xml:space="preserve">Jungle-camo shorts </t>
  </si>
  <si>
    <t xml:space="preserve">Kappa-costume pants </t>
  </si>
  <si>
    <t xml:space="preserve">Kilt </t>
  </si>
  <si>
    <t xml:space="preserve">Kung-fu pants </t>
  </si>
  <si>
    <t xml:space="preserve">Leopard pants </t>
  </si>
  <si>
    <t xml:space="preserve">Leopard skirt </t>
  </si>
  <si>
    <t xml:space="preserve">Lite polka skirt </t>
  </si>
  <si>
    <t xml:space="preserve">Military pants </t>
  </si>
  <si>
    <t xml:space="preserve">Mint gingham skirt </t>
  </si>
  <si>
    <t xml:space="preserve">Mummy pants </t>
  </si>
  <si>
    <t xml:space="preserve">Natty skirt </t>
  </si>
  <si>
    <t xml:space="preserve">Navy formal pants </t>
  </si>
  <si>
    <t xml:space="preserve">Navy formal skirt </t>
  </si>
  <si>
    <t xml:space="preserve">New spring skirt </t>
  </si>
  <si>
    <t xml:space="preserve">Ninja pants </t>
  </si>
  <si>
    <t xml:space="preserve">Orange pants </t>
  </si>
  <si>
    <t xml:space="preserve">Pastel-check skirt </t>
  </si>
  <si>
    <t xml:space="preserve">Patched-knee pants </t>
  </si>
  <si>
    <t xml:space="preserve">Pep-squad skirt </t>
  </si>
  <si>
    <t xml:space="preserve">Picnic skirt </t>
  </si>
  <si>
    <t xml:space="preserve">Pink argyle skirt </t>
  </si>
  <si>
    <t xml:space="preserve">Pink pj bottoms </t>
  </si>
  <si>
    <t xml:space="preserve">Pink sweatpants </t>
  </si>
  <si>
    <t xml:space="preserve">Pleather pants </t>
  </si>
  <si>
    <t xml:space="preserve">Racing pants </t>
  </si>
  <si>
    <t xml:space="preserve">Rainbow plaid shorts </t>
  </si>
  <si>
    <t xml:space="preserve">Red boxing shorts </t>
  </si>
  <si>
    <t xml:space="preserve">Red gym shorts </t>
  </si>
  <si>
    <t xml:space="preserve">Red plaid skirt </t>
  </si>
  <si>
    <t xml:space="preserve">Red polka skirt </t>
  </si>
  <si>
    <t xml:space="preserve">Red tartan pants </t>
  </si>
  <si>
    <t xml:space="preserve">Red warm-up pants </t>
  </si>
  <si>
    <t xml:space="preserve">Red-grid skirt </t>
  </si>
  <si>
    <t xml:space="preserve">Red-stripe pants </t>
  </si>
  <si>
    <t xml:space="preserve">Red-zap pants </t>
  </si>
  <si>
    <t xml:space="preserve">Relay shorts </t>
  </si>
  <si>
    <t xml:space="preserve">Royal shorts </t>
  </si>
  <si>
    <t xml:space="preserve">Running pants </t>
  </si>
  <si>
    <t xml:space="preserve">Sailor skirt </t>
  </si>
  <si>
    <t xml:space="preserve">Samurai pants </t>
  </si>
  <si>
    <t xml:space="preserve">Santa pants </t>
  </si>
  <si>
    <t xml:space="preserve">Scale-armor pants </t>
  </si>
  <si>
    <t xml:space="preserve">Soccer shorts </t>
  </si>
  <si>
    <t xml:space="preserve">Space pants </t>
  </si>
  <si>
    <t xml:space="preserve">Tan dogtooth pants </t>
  </si>
  <si>
    <t xml:space="preserve">Tiger pants </t>
  </si>
  <si>
    <t xml:space="preserve">Two-tone pants </t>
  </si>
  <si>
    <t xml:space="preserve">Varia Suit pants </t>
  </si>
  <si>
    <t xml:space="preserve">Western pants </t>
  </si>
  <si>
    <t xml:space="preserve">White formal pants </t>
  </si>
  <si>
    <t xml:space="preserve">White-lace skirt </t>
  </si>
  <si>
    <t xml:space="preserve">Worn-out jeans </t>
  </si>
  <si>
    <t xml:space="preserve">Wrestler pants </t>
  </si>
  <si>
    <t xml:space="preserve">Zebra pants </t>
  </si>
  <si>
    <t xml:space="preserve">Academy uniform </t>
  </si>
  <si>
    <t xml:space="preserve">Alpinist dress </t>
  </si>
  <si>
    <t xml:space="preserve">Ballet outfit </t>
  </si>
  <si>
    <t xml:space="preserve">Bathrobe </t>
  </si>
  <si>
    <t xml:space="preserve">Black-velvet dress </t>
  </si>
  <si>
    <t xml:space="preserve">Blossom dress </t>
  </si>
  <si>
    <t xml:space="preserve">Blossoming dress </t>
  </si>
  <si>
    <t xml:space="preserve">Blue dotted dress </t>
  </si>
  <si>
    <t xml:space="preserve">Blue lace-up dress </t>
  </si>
  <si>
    <t xml:space="preserve">Blue party dress </t>
  </si>
  <si>
    <t xml:space="preserve">Blue retro dress </t>
  </si>
  <si>
    <t xml:space="preserve">Butterfly dress </t>
  </si>
  <si>
    <t xml:space="preserve">Cake dress </t>
  </si>
  <si>
    <t xml:space="preserve">Cake tank dress </t>
  </si>
  <si>
    <t xml:space="preserve">Casual outfit </t>
  </si>
  <si>
    <t xml:space="preserve">Cat dress </t>
  </si>
  <si>
    <t xml:space="preserve">Cat tank dress </t>
  </si>
  <si>
    <t xml:space="preserve">Caveman tank dress </t>
  </si>
  <si>
    <t xml:space="preserve">Chima jeogori dress </t>
  </si>
  <si>
    <t xml:space="preserve">Citrus gingham dress </t>
  </si>
  <si>
    <t xml:space="preserve">Classic dress </t>
  </si>
  <si>
    <t xml:space="preserve">Cool dress </t>
  </si>
  <si>
    <t xml:space="preserve">Dapper dress </t>
  </si>
  <si>
    <t xml:space="preserve">Dazed dress </t>
  </si>
  <si>
    <t xml:space="preserve">Dogtooth dress </t>
  </si>
  <si>
    <t xml:space="preserve">Dollhouse dress </t>
  </si>
  <si>
    <t xml:space="preserve">Dreamy tank dress </t>
  </si>
  <si>
    <t xml:space="preserve">Embroidered dress </t>
  </si>
  <si>
    <t xml:space="preserve">Fairy-tale dress </t>
  </si>
  <si>
    <t xml:space="preserve">Festivale tank dress </t>
  </si>
  <si>
    <t xml:space="preserve">Festive dress </t>
  </si>
  <si>
    <t xml:space="preserve">Festive-tree dress </t>
  </si>
  <si>
    <t xml:space="preserve">Fleece dress </t>
  </si>
  <si>
    <t xml:space="preserve">Floral knit dress </t>
  </si>
  <si>
    <t xml:space="preserve">Fluffy dress </t>
  </si>
  <si>
    <t xml:space="preserve">Fluffy tank dress </t>
  </si>
  <si>
    <t xml:space="preserve">Frock coat </t>
  </si>
  <si>
    <t xml:space="preserve">Gaudy dress </t>
  </si>
  <si>
    <t xml:space="preserve">Graduation gown </t>
  </si>
  <si>
    <t xml:space="preserve">Green dress </t>
  </si>
  <si>
    <t xml:space="preserve">Green lace-up dress </t>
  </si>
  <si>
    <t xml:space="preserve">Gumdrop dress </t>
  </si>
  <si>
    <t xml:space="preserve">Kimono </t>
  </si>
  <si>
    <t xml:space="preserve">Lime dress </t>
  </si>
  <si>
    <t xml:space="preserve">Lotus tank dress </t>
  </si>
  <si>
    <t xml:space="preserve">Loud bloom dress </t>
  </si>
  <si>
    <t xml:space="preserve">Lovely dress </t>
  </si>
  <si>
    <t xml:space="preserve">Maid dress </t>
  </si>
  <si>
    <t xml:space="preserve">Milkmaid dress </t>
  </si>
  <si>
    <t xml:space="preserve">Moldy dress </t>
  </si>
  <si>
    <t xml:space="preserve">Muumuu </t>
  </si>
  <si>
    <t xml:space="preserve">Natty dress </t>
  </si>
  <si>
    <t xml:space="preserve">Nurse's uniform </t>
  </si>
  <si>
    <t xml:space="preserve">Orange lace-up dress </t>
  </si>
  <si>
    <t xml:space="preserve">Orange retro dress </t>
  </si>
  <si>
    <t xml:space="preserve">Overall dress </t>
  </si>
  <si>
    <t xml:space="preserve">Palatial tank dress </t>
  </si>
  <si>
    <t xml:space="preserve">Pastel-stripe dress </t>
  </si>
  <si>
    <t xml:space="preserve">Pharaoh's outfit </t>
  </si>
  <si>
    <t xml:space="preserve">Pinafore </t>
  </si>
  <si>
    <t xml:space="preserve">Pink lace-up dress </t>
  </si>
  <si>
    <t xml:space="preserve">Pink party dress </t>
  </si>
  <si>
    <t xml:space="preserve">Pink polka dress </t>
  </si>
  <si>
    <t xml:space="preserve">Pink-zap suit </t>
  </si>
  <si>
    <t xml:space="preserve">Plaid cami dress </t>
  </si>
  <si>
    <t xml:space="preserve">Plum coat </t>
  </si>
  <si>
    <t xml:space="preserve">Polka-dot dress </t>
  </si>
  <si>
    <t xml:space="preserve">Poncho </t>
  </si>
  <si>
    <t xml:space="preserve">Pop bloom dress </t>
  </si>
  <si>
    <t xml:space="preserve">Prep-school uniform </t>
  </si>
  <si>
    <t xml:space="preserve">Prim outfit </t>
  </si>
  <si>
    <t xml:space="preserve">Princess dress </t>
  </si>
  <si>
    <t xml:space="preserve">Red dress </t>
  </si>
  <si>
    <t xml:space="preserve">Red riding dress </t>
  </si>
  <si>
    <t xml:space="preserve">Ribbon dress </t>
  </si>
  <si>
    <t xml:space="preserve">Rose tank dress </t>
  </si>
  <si>
    <t xml:space="preserve">Rose-sky tank dress </t>
  </si>
  <si>
    <t xml:space="preserve">Sea captain's coat </t>
  </si>
  <si>
    <t xml:space="preserve">Shirtdress </t>
  </si>
  <si>
    <t xml:space="preserve">Silk bloom dress </t>
  </si>
  <si>
    <t xml:space="preserve">Sky dress </t>
  </si>
  <si>
    <t xml:space="preserve">Spring kimono </t>
  </si>
  <si>
    <t xml:space="preserve">Star tank dress </t>
  </si>
  <si>
    <t xml:space="preserve">Sweater dress </t>
  </si>
  <si>
    <t xml:space="preserve">Tan dogtooth dress </t>
  </si>
  <si>
    <t xml:space="preserve">Tartan-plaid outfit </t>
  </si>
  <si>
    <t xml:space="preserve">Toga </t>
  </si>
  <si>
    <t xml:space="preserve">Trench coat </t>
  </si>
  <si>
    <t xml:space="preserve">Turnip dress </t>
  </si>
  <si>
    <t xml:space="preserve">Twinkle tank dress </t>
  </si>
  <si>
    <t xml:space="preserve">U-R-here dress </t>
  </si>
  <si>
    <t xml:space="preserve">Vogue dress </t>
  </si>
  <si>
    <t xml:space="preserve">Waitress dress </t>
  </si>
  <si>
    <t xml:space="preserve">Witch's robe </t>
  </si>
  <si>
    <t xml:space="preserve">Yellow dotted dress </t>
  </si>
  <si>
    <t xml:space="preserve">Yellow raincoat </t>
  </si>
  <si>
    <t xml:space="preserve">Yodel dress </t>
  </si>
  <si>
    <t xml:space="preserve">1-Up cap </t>
  </si>
  <si>
    <t xml:space="preserve">Afro cap </t>
  </si>
  <si>
    <t xml:space="preserve">Afro wig </t>
  </si>
  <si>
    <t xml:space="preserve">Alpinist hat </t>
  </si>
  <si>
    <t xml:space="preserve">Baby's hat </t>
  </si>
  <si>
    <t xml:space="preserve">Badge hat </t>
  </si>
  <si>
    <t xml:space="preserve">Balloon hat </t>
  </si>
  <si>
    <t xml:space="preserve">Banana-split hat </t>
  </si>
  <si>
    <t xml:space="preserve">Bandana </t>
  </si>
  <si>
    <t xml:space="preserve">Batter's helmet </t>
  </si>
  <si>
    <t xml:space="preserve">Bear cap </t>
  </si>
  <si>
    <t xml:space="preserve">Beret </t>
  </si>
  <si>
    <t xml:space="preserve">Bicycle helmet </t>
  </si>
  <si>
    <t xml:space="preserve">Big bro's hat </t>
  </si>
  <si>
    <t xml:space="preserve">Birthday hat </t>
  </si>
  <si>
    <t xml:space="preserve">Birthday shades </t>
  </si>
  <si>
    <t xml:space="preserve">Black veil </t>
  </si>
  <si>
    <t xml:space="preserve">Blue cap </t>
  </si>
  <si>
    <t xml:space="preserve">Blue headgear </t>
  </si>
  <si>
    <t xml:space="preserve">Blue New Year's hat </t>
  </si>
  <si>
    <t xml:space="preserve">Blue nightcap </t>
  </si>
  <si>
    <t xml:space="preserve">Blue ogre mask </t>
  </si>
  <si>
    <t xml:space="preserve">Blue Pikmin </t>
  </si>
  <si>
    <t xml:space="preserve">Blue plaid fedora </t>
  </si>
  <si>
    <t xml:space="preserve">Blue pom-pom hat </t>
  </si>
  <si>
    <t xml:space="preserve">Blue ribbon </t>
  </si>
  <si>
    <t xml:space="preserve">Blue-zap helmet </t>
  </si>
  <si>
    <t xml:space="preserve">Braided wig </t>
  </si>
  <si>
    <t xml:space="preserve">Bridal veil </t>
  </si>
  <si>
    <t xml:space="preserve">Bug mask </t>
  </si>
  <si>
    <t xml:space="preserve">Bulb bopper </t>
  </si>
  <si>
    <t xml:space="preserve">Bun wig </t>
  </si>
  <si>
    <t xml:space="preserve">Bunny hood </t>
  </si>
  <si>
    <t xml:space="preserve">Captain's hat </t>
  </si>
  <si>
    <t xml:space="preserve">Cat cap </t>
  </si>
  <si>
    <t xml:space="preserve">Catcher's mask </t>
  </si>
  <si>
    <t xml:space="preserve">Cavalier hat </t>
  </si>
  <si>
    <t xml:space="preserve">Celebration hat </t>
  </si>
  <si>
    <t xml:space="preserve">Chef's hat </t>
  </si>
  <si>
    <t xml:space="preserve">Cloche hat </t>
  </si>
  <si>
    <t xml:space="preserve">Coin headpiece </t>
  </si>
  <si>
    <t xml:space="preserve">Combat helmet </t>
  </si>
  <si>
    <t xml:space="preserve">Conical straw hat </t>
  </si>
  <si>
    <t xml:space="preserve">Cow bone </t>
  </si>
  <si>
    <t xml:space="preserve">Crown </t>
  </si>
  <si>
    <t xml:space="preserve">Dandy hat </t>
  </si>
  <si>
    <t xml:space="preserve">Detective hat </t>
  </si>
  <si>
    <t xml:space="preserve">Diver's hood </t>
  </si>
  <si>
    <t xml:space="preserve">Diving mask </t>
  </si>
  <si>
    <t xml:space="preserve">DJ cap </t>
  </si>
  <si>
    <t xml:space="preserve">Do-rag </t>
  </si>
  <si>
    <t xml:space="preserve">Elegant hat </t>
  </si>
  <si>
    <t xml:space="preserve">Emperor's cap </t>
  </si>
  <si>
    <t xml:space="preserve">Explorer's hat </t>
  </si>
  <si>
    <t xml:space="preserve">Fencing mask </t>
  </si>
  <si>
    <t xml:space="preserve">Festivale accessory </t>
  </si>
  <si>
    <t xml:space="preserve">Fi mask </t>
  </si>
  <si>
    <t xml:space="preserve">Fireman's hat </t>
  </si>
  <si>
    <t xml:space="preserve">Flamenco hat </t>
  </si>
  <si>
    <t xml:space="preserve">Flashy hairpin </t>
  </si>
  <si>
    <t xml:space="preserve">Floppy hat </t>
  </si>
  <si>
    <t xml:space="preserve">Flower bopper </t>
  </si>
  <si>
    <t xml:space="preserve">Football helmet </t>
  </si>
  <si>
    <t xml:space="preserve">Frog cap </t>
  </si>
  <si>
    <t xml:space="preserve">Funky wig </t>
  </si>
  <si>
    <t xml:space="preserve">Geisha wig </t>
  </si>
  <si>
    <t xml:space="preserve">Ghost mask </t>
  </si>
  <si>
    <t xml:space="preserve">Girl's Day updo </t>
  </si>
  <si>
    <t xml:space="preserve">Gracie hat </t>
  </si>
  <si>
    <t xml:space="preserve">Grandpa hat </t>
  </si>
  <si>
    <t xml:space="preserve">Grape hat </t>
  </si>
  <si>
    <t xml:space="preserve">Green cap </t>
  </si>
  <si>
    <t xml:space="preserve">Green headgear </t>
  </si>
  <si>
    <t xml:space="preserve">Green knit hat </t>
  </si>
  <si>
    <t xml:space="preserve">Green New Year's hat </t>
  </si>
  <si>
    <t xml:space="preserve">Green-pumpkin head </t>
  </si>
  <si>
    <t xml:space="preserve">Green-zap helmet </t>
  </si>
  <si>
    <t xml:space="preserve">Hair-bow wig </t>
  </si>
  <si>
    <t xml:space="preserve">Halo </t>
  </si>
  <si>
    <t xml:space="preserve">Headband </t>
  </si>
  <si>
    <t xml:space="preserve">Headkerchief </t>
  </si>
  <si>
    <t xml:space="preserve">Heart bopper </t>
  </si>
  <si>
    <t xml:space="preserve">Heart hairpin </t>
  </si>
  <si>
    <t xml:space="preserve">Hero's cap </t>
  </si>
  <si>
    <t xml:space="preserve">Hibiscus hairpin </t>
  </si>
  <si>
    <t xml:space="preserve">Hot-dog hat </t>
  </si>
  <si>
    <t xml:space="preserve">Hunter's cap </t>
  </si>
  <si>
    <t xml:space="preserve">Iberian hat </t>
  </si>
  <si>
    <t xml:space="preserve">Jester's cap </t>
  </si>
  <si>
    <t xml:space="preserve">Jockey's helmet </t>
  </si>
  <si>
    <t xml:space="preserve">Kaffiyeh </t>
  </si>
  <si>
    <t xml:space="preserve">Kappa cap </t>
  </si>
  <si>
    <t xml:space="preserve">King Tut mask </t>
  </si>
  <si>
    <t xml:space="preserve">Kintaro wig </t>
  </si>
  <si>
    <t xml:space="preserve">Kiwi hat </t>
  </si>
  <si>
    <t xml:space="preserve">Knight's helmet </t>
  </si>
  <si>
    <t xml:space="preserve">Li'l bro's hat </t>
  </si>
  <si>
    <t xml:space="preserve">Light-blue cap </t>
  </si>
  <si>
    <t xml:space="preserve">Lion-dance mask </t>
  </si>
  <si>
    <t xml:space="preserve">Mailman's hat </t>
  </si>
  <si>
    <t xml:space="preserve">Majora's Mask </t>
  </si>
  <si>
    <t xml:space="preserve">Makar's Mask </t>
  </si>
  <si>
    <t xml:space="preserve">Mandarin hat </t>
  </si>
  <si>
    <t xml:space="preserve">Matronly bun </t>
  </si>
  <si>
    <t xml:space="preserve">Melon hat </t>
  </si>
  <si>
    <t xml:space="preserve">Midna's Mask </t>
  </si>
  <si>
    <t xml:space="preserve">Milkmaid hat </t>
  </si>
  <si>
    <t xml:space="preserve">Mohawk wig </t>
  </si>
  <si>
    <t xml:space="preserve">Monster mask </t>
  </si>
  <si>
    <t xml:space="preserve">Moon hairpin </t>
  </si>
  <si>
    <t xml:space="preserve">Motocross helmet </t>
  </si>
  <si>
    <t xml:space="preserve">Mummy mask </t>
  </si>
  <si>
    <t xml:space="preserve">Newsprint helmet </t>
  </si>
  <si>
    <t xml:space="preserve">Ninja hood </t>
  </si>
  <si>
    <t xml:space="preserve">Nurse's cap </t>
  </si>
  <si>
    <t xml:space="preserve">Ogre's wig </t>
  </si>
  <si>
    <t xml:space="preserve">Orange knit hat </t>
  </si>
  <si>
    <t xml:space="preserve">Outback hat </t>
  </si>
  <si>
    <t xml:space="preserve">Paperboy cap </t>
  </si>
  <si>
    <t xml:space="preserve">Pigtail </t>
  </si>
  <si>
    <t xml:space="preserve">Pilot's cap </t>
  </si>
  <si>
    <t xml:space="preserve">Pilot's hat </t>
  </si>
  <si>
    <t xml:space="preserve">Pink knit hat </t>
  </si>
  <si>
    <t xml:space="preserve">Pink nightcap </t>
  </si>
  <si>
    <t xml:space="preserve">Pink-zap helmet </t>
  </si>
  <si>
    <t xml:space="preserve">Pirate's hat </t>
  </si>
  <si>
    <t xml:space="preserve">Plain black cap </t>
  </si>
  <si>
    <t xml:space="preserve">Police cap </t>
  </si>
  <si>
    <t xml:space="preserve">Powdered wig </t>
  </si>
  <si>
    <t xml:space="preserve">Puffy hat </t>
  </si>
  <si>
    <t xml:space="preserve">Pumpkin head </t>
  </si>
  <si>
    <t xml:space="preserve">Purple cap </t>
  </si>
  <si>
    <t xml:space="preserve">Purple knit hat </t>
  </si>
  <si>
    <t xml:space="preserve">Purple-imp hood </t>
  </si>
  <si>
    <t xml:space="preserve">Purple-pumpkin head </t>
  </si>
  <si>
    <t xml:space="preserve">Racing helmet </t>
  </si>
  <si>
    <t xml:space="preserve">Red cap </t>
  </si>
  <si>
    <t xml:space="preserve">Red headgear </t>
  </si>
  <si>
    <t xml:space="preserve">Red hood </t>
  </si>
  <si>
    <t xml:space="preserve">Red New Year's hat </t>
  </si>
  <si>
    <t xml:space="preserve">Red ogre mask </t>
  </si>
  <si>
    <t xml:space="preserve">Red Pikmin </t>
  </si>
  <si>
    <t xml:space="preserve">Red pom-pom hat </t>
  </si>
  <si>
    <t xml:space="preserve">Red ribbon </t>
  </si>
  <si>
    <t xml:space="preserve">Red-horned hat </t>
  </si>
  <si>
    <t xml:space="preserve">Red-pumpkin head </t>
  </si>
  <si>
    <t xml:space="preserve">Red-team cap </t>
  </si>
  <si>
    <t xml:space="preserve">Red-zap helmet </t>
  </si>
  <si>
    <t xml:space="preserve">Regent wig </t>
  </si>
  <si>
    <t xml:space="preserve">Retro helmet </t>
  </si>
  <si>
    <t xml:space="preserve">Ribboned straw hat </t>
  </si>
  <si>
    <t xml:space="preserve">Roman helmet </t>
  </si>
  <si>
    <t xml:space="preserve">Royal crown </t>
  </si>
  <si>
    <t xml:space="preserve">Safety helmet </t>
  </si>
  <si>
    <t xml:space="preserve">Sailor's hat </t>
  </si>
  <si>
    <t xml:space="preserve">Samurai helmet </t>
  </si>
  <si>
    <t xml:space="preserve">Samurai wig </t>
  </si>
  <si>
    <t xml:space="preserve">Samus mask </t>
  </si>
  <si>
    <t xml:space="preserve">Santa hat </t>
  </si>
  <si>
    <t xml:space="preserve">Scholar's hat </t>
  </si>
  <si>
    <t xml:space="preserve">School cap </t>
  </si>
  <si>
    <t xml:space="preserve">School hat </t>
  </si>
  <si>
    <t xml:space="preserve">Shamrock hat </t>
  </si>
  <si>
    <t xml:space="preserve">Shower cap </t>
  </si>
  <si>
    <t xml:space="preserve">Silk hat </t>
  </si>
  <si>
    <t xml:space="preserve">Skeleton hood </t>
  </si>
  <si>
    <t xml:space="preserve">Ski mask </t>
  </si>
  <si>
    <t xml:space="preserve">Small silk hat </t>
  </si>
  <si>
    <t xml:space="preserve">Snowman head </t>
  </si>
  <si>
    <t xml:space="preserve">Sombrero </t>
  </si>
  <si>
    <t xml:space="preserve">Space helmet </t>
  </si>
  <si>
    <t xml:space="preserve">Stagehand hat </t>
  </si>
  <si>
    <t xml:space="preserve">Star bopper </t>
  </si>
  <si>
    <t xml:space="preserve">Star cap </t>
  </si>
  <si>
    <t xml:space="preserve">Star hairpin </t>
  </si>
  <si>
    <t xml:space="preserve">Straw boater </t>
  </si>
  <si>
    <t xml:space="preserve">Straw hat </t>
  </si>
  <si>
    <t xml:space="preserve">Straw umbrella hat </t>
  </si>
  <si>
    <t xml:space="preserve">Strawberry hat </t>
  </si>
  <si>
    <t xml:space="preserve">Stripe knit cap </t>
  </si>
  <si>
    <t xml:space="preserve">Student cap </t>
  </si>
  <si>
    <t xml:space="preserve">Swimming cap </t>
  </si>
  <si>
    <t xml:space="preserve">Tam-o'-shanter </t>
  </si>
  <si>
    <t xml:space="preserve">Terry-cloth do-rag </t>
  </si>
  <si>
    <t xml:space="preserve">Tiara hair </t>
  </si>
  <si>
    <t xml:space="preserve">Tingle hood </t>
  </si>
  <si>
    <t xml:space="preserve">Toad hat </t>
  </si>
  <si>
    <t xml:space="preserve">Top hat </t>
  </si>
  <si>
    <t xml:space="preserve">Topknot wig </t>
  </si>
  <si>
    <t xml:space="preserve">Tsunokakushi </t>
  </si>
  <si>
    <t xml:space="preserve">Tulip hat </t>
  </si>
  <si>
    <t xml:space="preserve">Turban </t>
  </si>
  <si>
    <t xml:space="preserve">Viking helmet </t>
  </si>
  <si>
    <t xml:space="preserve">Warbonnet </t>
  </si>
  <si>
    <t xml:space="preserve">Wario hat </t>
  </si>
  <si>
    <t xml:space="preserve">Watermelon hat </t>
  </si>
  <si>
    <t xml:space="preserve">Werewolf hood </t>
  </si>
  <si>
    <t xml:space="preserve">White cap </t>
  </si>
  <si>
    <t xml:space="preserve">White police cap </t>
  </si>
  <si>
    <t xml:space="preserve">White school cap </t>
  </si>
  <si>
    <t xml:space="preserve">White-team cap </t>
  </si>
  <si>
    <t xml:space="preserve">Witch's hat </t>
  </si>
  <si>
    <t xml:space="preserve">Wizard's cap </t>
  </si>
  <si>
    <t xml:space="preserve">Wrestling mask </t>
  </si>
  <si>
    <t xml:space="preserve">Y. New Year's hat </t>
  </si>
  <si>
    <t xml:space="preserve">Yellow cap </t>
  </si>
  <si>
    <t xml:space="preserve">Yellow Pikmin </t>
  </si>
  <si>
    <t xml:space="preserve">Yellow ribbon </t>
  </si>
  <si>
    <t>Yellow-pumpkin head</t>
  </si>
  <si>
    <t xml:space="preserve">3D glasses </t>
  </si>
  <si>
    <t xml:space="preserve">Aviator shades </t>
  </si>
  <si>
    <t xml:space="preserve">Bad bro's stache </t>
  </si>
  <si>
    <t xml:space="preserve">Ballroom mask </t>
  </si>
  <si>
    <t xml:space="preserve">Bandage </t>
  </si>
  <si>
    <t xml:space="preserve">Beak </t>
  </si>
  <si>
    <t xml:space="preserve">Big bro's mustache </t>
  </si>
  <si>
    <t xml:space="preserve">Blue frames </t>
  </si>
  <si>
    <t xml:space="preserve">Brown glasses </t>
  </si>
  <si>
    <t xml:space="preserve">Cucumber pack </t>
  </si>
  <si>
    <t xml:space="preserve">Curly mustache </t>
  </si>
  <si>
    <t xml:space="preserve">Cyber shades </t>
  </si>
  <si>
    <t xml:space="preserve">Doctor's mask </t>
  </si>
  <si>
    <t xml:space="preserve">Doctor's mirror </t>
  </si>
  <si>
    <t xml:space="preserve">Eye mask </t>
  </si>
  <si>
    <t xml:space="preserve">Eye patch </t>
  </si>
  <si>
    <t xml:space="preserve">Facial mask </t>
  </si>
  <si>
    <t xml:space="preserve">Funky glasses </t>
  </si>
  <si>
    <t xml:space="preserve">Funny glasses </t>
  </si>
  <si>
    <t xml:space="preserve">Gas mask </t>
  </si>
  <si>
    <t xml:space="preserve">Goggles </t>
  </si>
  <si>
    <t xml:space="preserve">Gracie glasses </t>
  </si>
  <si>
    <t xml:space="preserve">Green glasses </t>
  </si>
  <si>
    <t xml:space="preserve">Heart shades </t>
  </si>
  <si>
    <t xml:space="preserve">HMD </t>
  </si>
  <si>
    <t xml:space="preserve">Hockey mask </t>
  </si>
  <si>
    <t xml:space="preserve">Huge shades </t>
  </si>
  <si>
    <t xml:space="preserve">Jester's mask </t>
  </si>
  <si>
    <t xml:space="preserve">King's beard </t>
  </si>
  <si>
    <t xml:space="preserve">Ladder shades </t>
  </si>
  <si>
    <t xml:space="preserve">Leaf </t>
  </si>
  <si>
    <t xml:space="preserve">Lemon pack </t>
  </si>
  <si>
    <t xml:space="preserve">Masquerade mask </t>
  </si>
  <si>
    <t xml:space="preserve">Mint glasses </t>
  </si>
  <si>
    <t xml:space="preserve">Monocle </t>
  </si>
  <si>
    <t xml:space="preserve">Oval shades </t>
  </si>
  <si>
    <t xml:space="preserve">Pacifier </t>
  </si>
  <si>
    <t xml:space="preserve">Pilot shades </t>
  </si>
  <si>
    <t xml:space="preserve">Pink glasses </t>
  </si>
  <si>
    <t xml:space="preserve">Post-op patch </t>
  </si>
  <si>
    <t xml:space="preserve">Purple glasses </t>
  </si>
  <si>
    <t xml:space="preserve">Red glasses </t>
  </si>
  <si>
    <t xml:space="preserve">Red nose </t>
  </si>
  <si>
    <t xml:space="preserve">Rimmed glasses </t>
  </si>
  <si>
    <t xml:space="preserve">Round glasses </t>
  </si>
  <si>
    <t xml:space="preserve">Santa beard </t>
  </si>
  <si>
    <t xml:space="preserve">Silver frames </t>
  </si>
  <si>
    <t xml:space="preserve">Snorkel mask </t>
  </si>
  <si>
    <t xml:space="preserve">Sporty shades </t>
  </si>
  <si>
    <t xml:space="preserve">Stache &amp; glasses </t>
  </si>
  <si>
    <t xml:space="preserve">Star shades </t>
  </si>
  <si>
    <t xml:space="preserve">Steampunk glasses </t>
  </si>
  <si>
    <t xml:space="preserve">Superhero mask </t>
  </si>
  <si>
    <t xml:space="preserve">Thick glasses </t>
  </si>
  <si>
    <t xml:space="preserve">Tiny shades </t>
  </si>
  <si>
    <t xml:space="preserve">Tortoise specs </t>
  </si>
  <si>
    <t xml:space="preserve">Triangle shades </t>
  </si>
  <si>
    <t>Yellow glasses</t>
  </si>
  <si>
    <t xml:space="preserve">Argyle socks </t>
  </si>
  <si>
    <t xml:space="preserve">Argyle tights </t>
  </si>
  <si>
    <t xml:space="preserve">Armor shoes </t>
  </si>
  <si>
    <t xml:space="preserve">Ballet slippers </t>
  </si>
  <si>
    <t xml:space="preserve">Basketball shoes </t>
  </si>
  <si>
    <t xml:space="preserve">Beige tights </t>
  </si>
  <si>
    <t xml:space="preserve">Black ankle socks </t>
  </si>
  <si>
    <t xml:space="preserve">Black leggings </t>
  </si>
  <si>
    <t xml:space="preserve">Black loafers </t>
  </si>
  <si>
    <t xml:space="preserve">Black pumps </t>
  </si>
  <si>
    <t xml:space="preserve">Black rain boots </t>
  </si>
  <si>
    <t xml:space="preserve">Black stockings </t>
  </si>
  <si>
    <t xml:space="preserve">Black tights </t>
  </si>
  <si>
    <t xml:space="preserve">Blue pumps </t>
  </si>
  <si>
    <t xml:space="preserve">Blue sneakers </t>
  </si>
  <si>
    <t xml:space="preserve">Blue wrestling shoes </t>
  </si>
  <si>
    <t xml:space="preserve">Blue-stripe tights </t>
  </si>
  <si>
    <t xml:space="preserve">Bobby socks </t>
  </si>
  <si>
    <t xml:space="preserve">Brown loafers </t>
  </si>
  <si>
    <t xml:space="preserve">Brown pumps </t>
  </si>
  <si>
    <t xml:space="preserve">Brown slip-ons </t>
  </si>
  <si>
    <t xml:space="preserve">Brown socks </t>
  </si>
  <si>
    <t xml:space="preserve">Brown-stripe socks </t>
  </si>
  <si>
    <t xml:space="preserve">Checkered socks </t>
  </si>
  <si>
    <t xml:space="preserve">Cleats </t>
  </si>
  <si>
    <t xml:space="preserve">Climbing shoes </t>
  </si>
  <si>
    <t xml:space="preserve">Clogs </t>
  </si>
  <si>
    <t xml:space="preserve">Colorful sneakers </t>
  </si>
  <si>
    <t xml:space="preserve">Colorful socks </t>
  </si>
  <si>
    <t xml:space="preserve">Cowboy boots </t>
  </si>
  <si>
    <t xml:space="preserve">Crocheted tights </t>
  </si>
  <si>
    <t xml:space="preserve">Dress socks </t>
  </si>
  <si>
    <t xml:space="preserve">Flip-flops </t>
  </si>
  <si>
    <t xml:space="preserve">Flower loafers </t>
  </si>
  <si>
    <t xml:space="preserve">Gladiator sandals </t>
  </si>
  <si>
    <t xml:space="preserve">Gold-armor shoes </t>
  </si>
  <si>
    <t xml:space="preserve">Gray leggings </t>
  </si>
  <si>
    <t xml:space="preserve">Gray socks </t>
  </si>
  <si>
    <t xml:space="preserve">Gray tights </t>
  </si>
  <si>
    <t xml:space="preserve">Green buckled shoes </t>
  </si>
  <si>
    <t xml:space="preserve">Green polka pumps </t>
  </si>
  <si>
    <t xml:space="preserve">Green sandals </t>
  </si>
  <si>
    <t xml:space="preserve">Green tights </t>
  </si>
  <si>
    <t xml:space="preserve">Green-stripe shoes </t>
  </si>
  <si>
    <t xml:space="preserve">Green-stripe socks </t>
  </si>
  <si>
    <t xml:space="preserve">Heart-print tights </t>
  </si>
  <si>
    <t xml:space="preserve">Hero's boots </t>
  </si>
  <si>
    <t xml:space="preserve">Hiking boots </t>
  </si>
  <si>
    <t xml:space="preserve">Hiking gaiters </t>
  </si>
  <si>
    <t xml:space="preserve">Jester's shoes </t>
  </si>
  <si>
    <t xml:space="preserve">Kimono sandals </t>
  </si>
  <si>
    <t xml:space="preserve">Lace-up boots </t>
  </si>
  <si>
    <t xml:space="preserve">Leg warmers </t>
  </si>
  <si>
    <t xml:space="preserve">Leopard pumps </t>
  </si>
  <si>
    <t xml:space="preserve">Monochrome shoes </t>
  </si>
  <si>
    <t xml:space="preserve">Navy socks </t>
  </si>
  <si>
    <t xml:space="preserve">Ninja sandals </t>
  </si>
  <si>
    <t xml:space="preserve">Orange sandals </t>
  </si>
  <si>
    <t xml:space="preserve">Orange shoes </t>
  </si>
  <si>
    <t xml:space="preserve">Pink slip-ons </t>
  </si>
  <si>
    <t xml:space="preserve">Pink sneakers </t>
  </si>
  <si>
    <t xml:space="preserve">Polka-dot rain boots </t>
  </si>
  <si>
    <t xml:space="preserve">Polka-dot socks </t>
  </si>
  <si>
    <t xml:space="preserve">Purple dot shoes </t>
  </si>
  <si>
    <t xml:space="preserve">Purple high-tops </t>
  </si>
  <si>
    <t xml:space="preserve">Purple pumps </t>
  </si>
  <si>
    <t xml:space="preserve">Purple star socks </t>
  </si>
  <si>
    <t xml:space="preserve">Purple-stripe tights </t>
  </si>
  <si>
    <t xml:space="preserve">Rainbow tights </t>
  </si>
  <si>
    <t xml:space="preserve">Red boat shoes </t>
  </si>
  <si>
    <t xml:space="preserve">Red shoes </t>
  </si>
  <si>
    <t xml:space="preserve">Red tights </t>
  </si>
  <si>
    <t xml:space="preserve">Red wrestling shoes </t>
  </si>
  <si>
    <t xml:space="preserve">Santa boots </t>
  </si>
  <si>
    <t xml:space="preserve">School shoes </t>
  </si>
  <si>
    <t xml:space="preserve">Shearling boots </t>
  </si>
  <si>
    <t xml:space="preserve">Slippers </t>
  </si>
  <si>
    <t xml:space="preserve">Snow boots </t>
  </si>
  <si>
    <t xml:space="preserve">Soccer socks </t>
  </si>
  <si>
    <t xml:space="preserve">Star tights </t>
  </si>
  <si>
    <t xml:space="preserve">Steel-toed boots </t>
  </si>
  <si>
    <t xml:space="preserve">Stripe shoes </t>
  </si>
  <si>
    <t xml:space="preserve">Tasseled loafers </t>
  </si>
  <si>
    <t xml:space="preserve">Tropical sandals </t>
  </si>
  <si>
    <t xml:space="preserve">Tube socks </t>
  </si>
  <si>
    <t xml:space="preserve">Varia Suit shoes </t>
  </si>
  <si>
    <t xml:space="preserve">White ankle socks </t>
  </si>
  <si>
    <t xml:space="preserve">White leather shoes </t>
  </si>
  <si>
    <t xml:space="preserve">White patent shoes </t>
  </si>
  <si>
    <t xml:space="preserve">White socks </t>
  </si>
  <si>
    <t xml:space="preserve">White stockings </t>
  </si>
  <si>
    <t xml:space="preserve">White-lace socks </t>
  </si>
  <si>
    <t xml:space="preserve">Wooden clogs </t>
  </si>
  <si>
    <t xml:space="preserve">Yellow buckled shoes </t>
  </si>
  <si>
    <t xml:space="preserve">Yellow rain boots </t>
  </si>
  <si>
    <t xml:space="preserve">Yellow sneakers </t>
  </si>
  <si>
    <t>Zap boots</t>
  </si>
  <si>
    <t xml:space="preserve">Bat umbrella </t>
  </si>
  <si>
    <t xml:space="preserve">Beach umbrella </t>
  </si>
  <si>
    <t xml:space="preserve">Blue dot parasol </t>
  </si>
  <si>
    <t xml:space="preserve">Blue umbrella </t>
  </si>
  <si>
    <t xml:space="preserve">Busted umbrella </t>
  </si>
  <si>
    <t xml:space="preserve">Camo umbrella </t>
  </si>
  <si>
    <t xml:space="preserve">Candy umbrella </t>
  </si>
  <si>
    <t xml:space="preserve">Daisy umbrella </t>
  </si>
  <si>
    <t xml:space="preserve">Eggy parasol </t>
  </si>
  <si>
    <t xml:space="preserve">Elegant umbrella </t>
  </si>
  <si>
    <t xml:space="preserve">Flame umbrella </t>
  </si>
  <si>
    <t xml:space="preserve">Forest umbrella </t>
  </si>
  <si>
    <t xml:space="preserve">Gelato umbrella </t>
  </si>
  <si>
    <t xml:space="preserve">Ghost umbrella </t>
  </si>
  <si>
    <t xml:space="preserve">Gracie umbrella </t>
  </si>
  <si>
    <t xml:space="preserve">Green umbrella </t>
  </si>
  <si>
    <t xml:space="preserve">Lacy parasol </t>
  </si>
  <si>
    <t xml:space="preserve">Leaf umbrella </t>
  </si>
  <si>
    <t xml:space="preserve">Lemon umbrella </t>
  </si>
  <si>
    <t xml:space="preserve">Leopard umbrella </t>
  </si>
  <si>
    <t xml:space="preserve">Maple umbrella </t>
  </si>
  <si>
    <t xml:space="preserve">Melon umbrella </t>
  </si>
  <si>
    <t xml:space="preserve">Mint umbrella </t>
  </si>
  <si>
    <t xml:space="preserve">Modern umbrella </t>
  </si>
  <si>
    <t xml:space="preserve">Paper parasol </t>
  </si>
  <si>
    <t xml:space="preserve">Paw umbrella </t>
  </si>
  <si>
    <t xml:space="preserve">Peach's parasol </t>
  </si>
  <si>
    <t xml:space="preserve">Petal parasol </t>
  </si>
  <si>
    <t xml:space="preserve">Picnic umbrella </t>
  </si>
  <si>
    <t xml:space="preserve">Red umbrella </t>
  </si>
  <si>
    <t xml:space="preserve">Ribbon umbrella </t>
  </si>
  <si>
    <t xml:space="preserve">Spider umbrella </t>
  </si>
  <si>
    <t xml:space="preserve">Sunny parasol </t>
  </si>
  <si>
    <t xml:space="preserve">Toad parasol </t>
  </si>
  <si>
    <t xml:space="preserve">Yellow umbrella </t>
  </si>
  <si>
    <t>Zebra umbrella</t>
  </si>
  <si>
    <t xml:space="preserve">Academy paper </t>
  </si>
  <si>
    <t xml:space="preserve">Airmail paper </t>
  </si>
  <si>
    <t xml:space="preserve">Bathtub paper </t>
  </si>
  <si>
    <t xml:space="preserve">Bejeweled paper </t>
  </si>
  <si>
    <t xml:space="preserve">Birthday card </t>
  </si>
  <si>
    <t xml:space="preserve">Bubble paper </t>
  </si>
  <si>
    <t xml:space="preserve">Buttercup paper </t>
  </si>
  <si>
    <t xml:space="preserve">Butterfly paper </t>
  </si>
  <si>
    <t xml:space="preserve">Camouflage paper </t>
  </si>
  <si>
    <t xml:space="preserve">Card paper </t>
  </si>
  <si>
    <t xml:space="preserve">Chic paper </t>
  </si>
  <si>
    <t xml:space="preserve">Cloudy paper </t>
  </si>
  <si>
    <t xml:space="preserve">Composer paper </t>
  </si>
  <si>
    <t xml:space="preserve">Cool paper </t>
  </si>
  <si>
    <t xml:space="preserve">Cow paper </t>
  </si>
  <si>
    <t xml:space="preserve">Crater paper </t>
  </si>
  <si>
    <t xml:space="preserve">Elegant paper </t>
  </si>
  <si>
    <t xml:space="preserve">Fireworks paper </t>
  </si>
  <si>
    <t xml:space="preserve">Floral paper </t>
  </si>
  <si>
    <t xml:space="preserve">Flowery paper </t>
  </si>
  <si>
    <t xml:space="preserve">Forest paper </t>
  </si>
  <si>
    <t xml:space="preserve">Formal paper </t>
  </si>
  <si>
    <t xml:space="preserve">Four-leaf paper </t>
  </si>
  <si>
    <t xml:space="preserve">Gallery paper </t>
  </si>
  <si>
    <t xml:space="preserve">Geometric paper </t>
  </si>
  <si>
    <t xml:space="preserve">Goldfish paper </t>
  </si>
  <si>
    <t xml:space="preserve">Halloween paper </t>
  </si>
  <si>
    <t xml:space="preserve">Hamburger paper </t>
  </si>
  <si>
    <t xml:space="preserve">Hieroglyph paper </t>
  </si>
  <si>
    <t xml:space="preserve">Imperial paper </t>
  </si>
  <si>
    <t xml:space="preserve">Industrial paper </t>
  </si>
  <si>
    <t xml:space="preserve">Lacy paper </t>
  </si>
  <si>
    <t xml:space="preserve">Lemon-lime paper </t>
  </si>
  <si>
    <t xml:space="preserve">Leopard paper </t>
  </si>
  <si>
    <t xml:space="preserve">Lined paper </t>
  </si>
  <si>
    <t xml:space="preserve">Lotus paper </t>
  </si>
  <si>
    <t xml:space="preserve">Lovely paper </t>
  </si>
  <si>
    <t xml:space="preserve">Maple-leaf paper </t>
  </si>
  <si>
    <t xml:space="preserve">Mosaic paper </t>
  </si>
  <si>
    <t xml:space="preserve">Museum paper </t>
  </si>
  <si>
    <t xml:space="preserve">Mushroom paper </t>
  </si>
  <si>
    <t xml:space="preserve">New Year's cards </t>
  </si>
  <si>
    <t xml:space="preserve">Night-sky paper </t>
  </si>
  <si>
    <t xml:space="preserve">Nook paper </t>
  </si>
  <si>
    <t xml:space="preserve">Notebook paper </t>
  </si>
  <si>
    <t xml:space="preserve">Ocean paper </t>
  </si>
  <si>
    <t xml:space="preserve">Petal paper </t>
  </si>
  <si>
    <t xml:space="preserve">Piano paper </t>
  </si>
  <si>
    <t xml:space="preserve">Plaid paper </t>
  </si>
  <si>
    <t xml:space="preserve">Polka-dot paper </t>
  </si>
  <si>
    <t xml:space="preserve">Post-office paper </t>
  </si>
  <si>
    <t xml:space="preserve">Rainbow paper </t>
  </si>
  <si>
    <t xml:space="preserve">Ribbon paper </t>
  </si>
  <si>
    <t xml:space="preserve">SMB3 paper </t>
  </si>
  <si>
    <t xml:space="preserve">Snowman paper </t>
  </si>
  <si>
    <t xml:space="preserve">Snowy paper </t>
  </si>
  <si>
    <t xml:space="preserve">Southwest paper </t>
  </si>
  <si>
    <t xml:space="preserve">Sparkly paper </t>
  </si>
  <si>
    <t xml:space="preserve">Star paper </t>
  </si>
  <si>
    <t xml:space="preserve">Tartan paper </t>
  </si>
  <si>
    <t xml:space="preserve">Tile paper </t>
  </si>
  <si>
    <t xml:space="preserve">Town-view paper </t>
  </si>
  <si>
    <t xml:space="preserve">Vine paper </t>
  </si>
  <si>
    <t xml:space="preserve">Weathered paper </t>
  </si>
  <si>
    <t>Mood</t>
  </si>
  <si>
    <t xml:space="preserve">Agent K.K. </t>
  </si>
  <si>
    <t>Hard to say</t>
  </si>
  <si>
    <t xml:space="preserve">Aloha K.K. </t>
  </si>
  <si>
    <t>Lazy</t>
  </si>
  <si>
    <t xml:space="preserve">Bubblegum K.K. </t>
  </si>
  <si>
    <t>Good</t>
  </si>
  <si>
    <t xml:space="preserve">Café K.K. </t>
  </si>
  <si>
    <t xml:space="preserve">Comrade K.K. </t>
  </si>
  <si>
    <t>A little sad</t>
  </si>
  <si>
    <t xml:space="preserve">DJ K.K. </t>
  </si>
  <si>
    <t>Grumpy</t>
  </si>
  <si>
    <t xml:space="preserve">Forest Life </t>
  </si>
  <si>
    <t xml:space="preserve">Go K.K. Rider </t>
  </si>
  <si>
    <t xml:space="preserve">Hypno K.K. </t>
  </si>
  <si>
    <t>Request only</t>
  </si>
  <si>
    <t xml:space="preserve">I Love You </t>
  </si>
  <si>
    <t xml:space="preserve">Imperial K.K. </t>
  </si>
  <si>
    <t xml:space="preserve">K.K. Adventure </t>
  </si>
  <si>
    <t xml:space="preserve">K.K. Aria </t>
  </si>
  <si>
    <t xml:space="preserve">K.K. Ballad </t>
  </si>
  <si>
    <t xml:space="preserve">K.K. Bazaar </t>
  </si>
  <si>
    <t xml:space="preserve">K.K. Birthday </t>
  </si>
  <si>
    <t>Saturday before birthday</t>
  </si>
  <si>
    <t xml:space="preserve">K.K. Blues </t>
  </si>
  <si>
    <t xml:space="preserve">K.K. Bossa </t>
  </si>
  <si>
    <t xml:space="preserve">K.K. Calypso </t>
  </si>
  <si>
    <t xml:space="preserve">K.K. Casbah </t>
  </si>
  <si>
    <t xml:space="preserve">K.K. Chorale </t>
  </si>
  <si>
    <t xml:space="preserve">K.K. Condor </t>
  </si>
  <si>
    <t xml:space="preserve">K.K. Country </t>
  </si>
  <si>
    <t xml:space="preserve">K.K. Cruisin' </t>
  </si>
  <si>
    <t xml:space="preserve">K.K. D&amp;B </t>
  </si>
  <si>
    <t xml:space="preserve">K.K. Dirge </t>
  </si>
  <si>
    <t xml:space="preserve">K.K. Disco </t>
  </si>
  <si>
    <t xml:space="preserve">K.K. Dixie </t>
  </si>
  <si>
    <t xml:space="preserve">K.K. Étude </t>
  </si>
  <si>
    <t xml:space="preserve">K.K. Faire </t>
  </si>
  <si>
    <t xml:space="preserve">K.K. Flamenco </t>
  </si>
  <si>
    <t xml:space="preserve">K.K. Folk </t>
  </si>
  <si>
    <t xml:space="preserve">K.K. Fusion </t>
  </si>
  <si>
    <t xml:space="preserve">K.K. Groove </t>
  </si>
  <si>
    <t xml:space="preserve">K.K. Gumbo </t>
  </si>
  <si>
    <t xml:space="preserve">K.K. House </t>
  </si>
  <si>
    <t xml:space="preserve">K.K. Island </t>
  </si>
  <si>
    <t xml:space="preserve">K.K. Jazz </t>
  </si>
  <si>
    <t xml:space="preserve">K.K. Jongara </t>
  </si>
  <si>
    <t xml:space="preserve">K.K. Lament </t>
  </si>
  <si>
    <t xml:space="preserve">K.K. Love Song </t>
  </si>
  <si>
    <t xml:space="preserve">K.K. Lullaby </t>
  </si>
  <si>
    <t xml:space="preserve">K.K. Mambo </t>
  </si>
  <si>
    <t xml:space="preserve">K.K. Marathon </t>
  </si>
  <si>
    <t xml:space="preserve">K.K. March </t>
  </si>
  <si>
    <t xml:space="preserve">K.K. Metal </t>
  </si>
  <si>
    <t xml:space="preserve">K.K. Milonga </t>
  </si>
  <si>
    <t xml:space="preserve">K.K. Moody </t>
  </si>
  <si>
    <t xml:space="preserve">K.K. Oasis </t>
  </si>
  <si>
    <t xml:space="preserve">K.K. Parade </t>
  </si>
  <si>
    <t xml:space="preserve">K.K. Ragtime </t>
  </si>
  <si>
    <t xml:space="preserve">K.K. Rally </t>
  </si>
  <si>
    <t xml:space="preserve">K.K. Reggae </t>
  </si>
  <si>
    <t xml:space="preserve">K.K. Rock </t>
  </si>
  <si>
    <t xml:space="preserve">K.K. Rockabilly </t>
  </si>
  <si>
    <t xml:space="preserve">K.K. Safari </t>
  </si>
  <si>
    <t xml:space="preserve">K.K. Salsa </t>
  </si>
  <si>
    <t xml:space="preserve">K.K. Samba </t>
  </si>
  <si>
    <t xml:space="preserve">K.K. Ska </t>
  </si>
  <si>
    <t xml:space="preserve">K.K. Sonata </t>
  </si>
  <si>
    <t xml:space="preserve">K.K. Song </t>
  </si>
  <si>
    <t xml:space="preserve">K.K. Soul </t>
  </si>
  <si>
    <t xml:space="preserve">K.K. Steppe </t>
  </si>
  <si>
    <t xml:space="preserve">K.K. Stroll </t>
  </si>
  <si>
    <t xml:space="preserve">K.K. Swing </t>
  </si>
  <si>
    <t xml:space="preserve">K.K. Synth </t>
  </si>
  <si>
    <t xml:space="preserve">K.K. Tango </t>
  </si>
  <si>
    <t xml:space="preserve">K.K. Technopop </t>
  </si>
  <si>
    <t xml:space="preserve">K.K. Waltz </t>
  </si>
  <si>
    <t xml:space="preserve">K.K. Western </t>
  </si>
  <si>
    <t xml:space="preserve">King K.K. </t>
  </si>
  <si>
    <t xml:space="preserve">Lucky K.K. </t>
  </si>
  <si>
    <t xml:space="preserve">Marine Song 2001 </t>
  </si>
  <si>
    <t xml:space="preserve">Mountain Song </t>
  </si>
  <si>
    <t xml:space="preserve">Mr. K.K. </t>
  </si>
  <si>
    <t xml:space="preserve">My Place </t>
  </si>
  <si>
    <t xml:space="preserve">Neapolitan </t>
  </si>
  <si>
    <t xml:space="preserve">Only Me </t>
  </si>
  <si>
    <t xml:space="preserve">Pondering </t>
  </si>
  <si>
    <t xml:space="preserve">Rockin' K.K. </t>
  </si>
  <si>
    <t xml:space="preserve">Señor K.K. </t>
  </si>
  <si>
    <t xml:space="preserve">Soulful K.K. </t>
  </si>
  <si>
    <t xml:space="preserve">Space K.K. </t>
  </si>
  <si>
    <t xml:space="preserve">Spring Blossoms </t>
  </si>
  <si>
    <t xml:space="preserve">Stale Cupcakes </t>
  </si>
  <si>
    <t xml:space="preserve">Steep Hill </t>
  </si>
  <si>
    <t xml:space="preserve">Surfin' K.K. </t>
  </si>
  <si>
    <t xml:space="preserve">The K. Funk </t>
  </si>
  <si>
    <t xml:space="preserve">To the Edge </t>
  </si>
  <si>
    <t xml:space="preserve">Two Days Ago </t>
  </si>
  <si>
    <t>Wandering</t>
  </si>
  <si>
    <t xml:space="preserve">Mega alloid </t>
  </si>
  <si>
    <t xml:space="preserve">Mini alloid </t>
  </si>
  <si>
    <t xml:space="preserve">Tall alloid </t>
  </si>
  <si>
    <t xml:space="preserve">Mega bovoid </t>
  </si>
  <si>
    <t xml:space="preserve">Tall bovoid </t>
  </si>
  <si>
    <t xml:space="preserve">Bowtoid </t>
  </si>
  <si>
    <t xml:space="preserve">Mega bowtoid </t>
  </si>
  <si>
    <t xml:space="preserve">Mini bowtoid </t>
  </si>
  <si>
    <t xml:space="preserve">Tall bowtoid </t>
  </si>
  <si>
    <t xml:space="preserve">Buzzoid </t>
  </si>
  <si>
    <t xml:space="preserve">Mega buzzoid </t>
  </si>
  <si>
    <t xml:space="preserve">Mini buzzoid </t>
  </si>
  <si>
    <t xml:space="preserve">Tall buzzoid </t>
  </si>
  <si>
    <t xml:space="preserve">Clankoid </t>
  </si>
  <si>
    <t xml:space="preserve">Mega clankoid </t>
  </si>
  <si>
    <t xml:space="preserve">Mini clankoid </t>
  </si>
  <si>
    <t xml:space="preserve">Tall clankoid </t>
  </si>
  <si>
    <t xml:space="preserve">Croakoid </t>
  </si>
  <si>
    <t xml:space="preserve">Mega croakoid </t>
  </si>
  <si>
    <t xml:space="preserve">Mini croakoid </t>
  </si>
  <si>
    <t xml:space="preserve">Tall croakoid </t>
  </si>
  <si>
    <t xml:space="preserve">Dekkoid </t>
  </si>
  <si>
    <t xml:space="preserve">Mega dekkoid </t>
  </si>
  <si>
    <t xml:space="preserve">Mini dekkoid </t>
  </si>
  <si>
    <t xml:space="preserve">Dingloid </t>
  </si>
  <si>
    <t xml:space="preserve">Mega dingloid </t>
  </si>
  <si>
    <t xml:space="preserve">Squat dingloid </t>
  </si>
  <si>
    <t xml:space="preserve">Mini dingloid </t>
  </si>
  <si>
    <t xml:space="preserve">Tall dingloid </t>
  </si>
  <si>
    <t xml:space="preserve">Wee dingloid </t>
  </si>
  <si>
    <t xml:space="preserve">Mega dinkoid </t>
  </si>
  <si>
    <t xml:space="preserve">Mini dinkoid </t>
  </si>
  <si>
    <t xml:space="preserve">Drilloid </t>
  </si>
  <si>
    <t xml:space="preserve">Mega drilloid </t>
  </si>
  <si>
    <t xml:space="preserve">Mini drilloid </t>
  </si>
  <si>
    <t xml:space="preserve">Tall droploid </t>
  </si>
  <si>
    <t xml:space="preserve">Mega echoid </t>
  </si>
  <si>
    <t xml:space="preserve">Mini echoid </t>
  </si>
  <si>
    <t xml:space="preserve">Tall echoid </t>
  </si>
  <si>
    <t xml:space="preserve">Mega fizzoid </t>
  </si>
  <si>
    <t xml:space="preserve">Mini fizzoid </t>
  </si>
  <si>
    <t xml:space="preserve">Mega freakoid </t>
  </si>
  <si>
    <t xml:space="preserve">Mini freakoid </t>
  </si>
  <si>
    <t xml:space="preserve">Gargloid </t>
  </si>
  <si>
    <t xml:space="preserve">Mini gargloid </t>
  </si>
  <si>
    <t xml:space="preserve">Tall gargloid </t>
  </si>
  <si>
    <t xml:space="preserve">Gongoid </t>
  </si>
  <si>
    <t xml:space="preserve">Mega gongoid </t>
  </si>
  <si>
    <t xml:space="preserve">Mini gongoid </t>
  </si>
  <si>
    <t xml:space="preserve">Tall gongoid </t>
  </si>
  <si>
    <t xml:space="preserve">Harmonoid </t>
  </si>
  <si>
    <t xml:space="preserve">Mega harmonoid </t>
  </si>
  <si>
    <t xml:space="preserve">Mini harmonoid </t>
  </si>
  <si>
    <t xml:space="preserve">Tall harmonoid </t>
  </si>
  <si>
    <t xml:space="preserve">Howloid </t>
  </si>
  <si>
    <t xml:space="preserve">Mega howloid </t>
  </si>
  <si>
    <t xml:space="preserve">Mini howloid </t>
  </si>
  <si>
    <t xml:space="preserve">Lamentoid </t>
  </si>
  <si>
    <t xml:space="preserve">Mega lamentoid </t>
  </si>
  <si>
    <t xml:space="preserve">Mini lamentoid </t>
  </si>
  <si>
    <t xml:space="preserve">Tall lamentoid </t>
  </si>
  <si>
    <t xml:space="preserve">Lullaboid </t>
  </si>
  <si>
    <t xml:space="preserve">Mega lullaboid </t>
  </si>
  <si>
    <t xml:space="preserve">Mini lullaboid </t>
  </si>
  <si>
    <t xml:space="preserve">Tall lullaboid </t>
  </si>
  <si>
    <t xml:space="preserve">Metatoid </t>
  </si>
  <si>
    <t xml:space="preserve">Mini metatoid </t>
  </si>
  <si>
    <t xml:space="preserve">Nebuloid </t>
  </si>
  <si>
    <t xml:space="preserve">Mega nebuloid </t>
  </si>
  <si>
    <t xml:space="preserve">Squat nebuloid </t>
  </si>
  <si>
    <t xml:space="preserve">Mini nebuloid </t>
  </si>
  <si>
    <t xml:space="preserve">Tall nebuloid </t>
  </si>
  <si>
    <t xml:space="preserve">Slim nebuloid </t>
  </si>
  <si>
    <t xml:space="preserve">Oboid </t>
  </si>
  <si>
    <t xml:space="preserve">Mega oboid </t>
  </si>
  <si>
    <t xml:space="preserve">Tall oboid </t>
  </si>
  <si>
    <t xml:space="preserve">Oombloid </t>
  </si>
  <si>
    <t xml:space="preserve">Mega oombloid </t>
  </si>
  <si>
    <t xml:space="preserve">Mini oombloid </t>
  </si>
  <si>
    <t xml:space="preserve">Tall oombloid </t>
  </si>
  <si>
    <t xml:space="preserve">Mega percoloid </t>
  </si>
  <si>
    <t xml:space="preserve">Tall percoloid </t>
  </si>
  <si>
    <t xml:space="preserve">Plinkoid </t>
  </si>
  <si>
    <t xml:space="preserve">Mega plinkoid </t>
  </si>
  <si>
    <t xml:space="preserve">Mini plinkoid </t>
  </si>
  <si>
    <t xml:space="preserve">Poltergoid </t>
  </si>
  <si>
    <t xml:space="preserve">Mega poltergoid </t>
  </si>
  <si>
    <t xml:space="preserve">Mini poltergoid </t>
  </si>
  <si>
    <t xml:space="preserve">Tall poltergoid </t>
  </si>
  <si>
    <t xml:space="preserve">Mega puffoid </t>
  </si>
  <si>
    <t xml:space="preserve">Mini puffoid </t>
  </si>
  <si>
    <t xml:space="preserve">Tall puffoid </t>
  </si>
  <si>
    <t xml:space="preserve">Quazoid </t>
  </si>
  <si>
    <t xml:space="preserve">Mega quazoid </t>
  </si>
  <si>
    <t xml:space="preserve">Mini quazoid </t>
  </si>
  <si>
    <t xml:space="preserve">Tall quazoid </t>
  </si>
  <si>
    <t xml:space="preserve">Slim quazoid </t>
  </si>
  <si>
    <t xml:space="preserve">Rhythmoid </t>
  </si>
  <si>
    <t xml:space="preserve">Mini rhythmoid </t>
  </si>
  <si>
    <t xml:space="preserve">Rustoid </t>
  </si>
  <si>
    <t xml:space="preserve">Mega rustoid </t>
  </si>
  <si>
    <t xml:space="preserve">Mini rustoid </t>
  </si>
  <si>
    <t xml:space="preserve">Sproid </t>
  </si>
  <si>
    <t xml:space="preserve">Mega sproid </t>
  </si>
  <si>
    <t xml:space="preserve">Mini sproid </t>
  </si>
  <si>
    <t xml:space="preserve">Tall sproid </t>
  </si>
  <si>
    <t xml:space="preserve">Sputnoid </t>
  </si>
  <si>
    <t xml:space="preserve">Mega sputnoid </t>
  </si>
  <si>
    <t xml:space="preserve">Mini sputnoid </t>
  </si>
  <si>
    <t xml:space="preserve">Tall sputnoid </t>
  </si>
  <si>
    <t xml:space="preserve">Squelchoid </t>
  </si>
  <si>
    <t xml:space="preserve">Mega squelchoid </t>
  </si>
  <si>
    <t xml:space="preserve">Mini squelchoid </t>
  </si>
  <si>
    <t xml:space="preserve">Strumboid </t>
  </si>
  <si>
    <t xml:space="preserve">Mega strumboid </t>
  </si>
  <si>
    <t xml:space="preserve">Mini strumboid </t>
  </si>
  <si>
    <t xml:space="preserve">Tall strumboid </t>
  </si>
  <si>
    <t xml:space="preserve">Timpanoid </t>
  </si>
  <si>
    <t xml:space="preserve">Mega timpanoid </t>
  </si>
  <si>
    <t xml:space="preserve">Mini timpanoid </t>
  </si>
  <si>
    <t xml:space="preserve">Tall timpanoid </t>
  </si>
  <si>
    <t xml:space="preserve">Tootoid </t>
  </si>
  <si>
    <t xml:space="preserve">Mega tootoid </t>
  </si>
  <si>
    <t xml:space="preserve">Mini tootoid </t>
  </si>
  <si>
    <t xml:space="preserve">Warbloid </t>
  </si>
  <si>
    <t xml:space="preserve">Mini warbloid </t>
  </si>
  <si>
    <t xml:space="preserve">Tall warbloid </t>
  </si>
  <si>
    <t xml:space="preserve">Brewstoid </t>
  </si>
  <si>
    <t xml:space="preserve">Mega brewstoid </t>
  </si>
  <si>
    <t xml:space="preserve">Mini brewstoid </t>
  </si>
  <si>
    <t xml:space="preserve">Tall brewstoid </t>
  </si>
  <si>
    <t>Donated?</t>
  </si>
  <si>
    <t xml:space="preserve">Name </t>
  </si>
  <si>
    <t xml:space="preserve">Amber </t>
  </si>
  <si>
    <t xml:space="preserve">Ammonite </t>
  </si>
  <si>
    <t xml:space="preserve">Ankylo skull </t>
  </si>
  <si>
    <t xml:space="preserve">Ankylo torso </t>
  </si>
  <si>
    <t xml:space="preserve">Ankylo tail </t>
  </si>
  <si>
    <t xml:space="preserve">Apato skull </t>
  </si>
  <si>
    <t xml:space="preserve">Apato torso </t>
  </si>
  <si>
    <t xml:space="preserve">Apato tail </t>
  </si>
  <si>
    <t xml:space="preserve">Archaeopteryx </t>
  </si>
  <si>
    <t xml:space="preserve">Archelon skull </t>
  </si>
  <si>
    <t xml:space="preserve">Archelon torso </t>
  </si>
  <si>
    <t xml:space="preserve">Coprolite </t>
  </si>
  <si>
    <t xml:space="preserve">Dimetrodon skull </t>
  </si>
  <si>
    <t xml:space="preserve">Dimetrodon torso </t>
  </si>
  <si>
    <t xml:space="preserve">Dimetrodon tail </t>
  </si>
  <si>
    <t xml:space="preserve">Dinosaur egg </t>
  </si>
  <si>
    <t xml:space="preserve">Dinosaur track </t>
  </si>
  <si>
    <t xml:space="preserve">Diplo skull </t>
  </si>
  <si>
    <t xml:space="preserve">Diplo neck </t>
  </si>
  <si>
    <t xml:space="preserve">Diplo chest </t>
  </si>
  <si>
    <t xml:space="preserve">Diplo hip </t>
  </si>
  <si>
    <t xml:space="preserve">Diplo tail </t>
  </si>
  <si>
    <t xml:space="preserve">Fern fossil </t>
  </si>
  <si>
    <t xml:space="preserve">Ichthyo skull </t>
  </si>
  <si>
    <t xml:space="preserve">Ichthyo torso </t>
  </si>
  <si>
    <t xml:space="preserve">Iguanodon skull </t>
  </si>
  <si>
    <t xml:space="preserve">Iguanodon torso </t>
  </si>
  <si>
    <t xml:space="preserve">Iguanodon tail </t>
  </si>
  <si>
    <t xml:space="preserve">Mammoth skull </t>
  </si>
  <si>
    <t xml:space="preserve">Mammoth torso </t>
  </si>
  <si>
    <t xml:space="preserve">Megacero skull </t>
  </si>
  <si>
    <t xml:space="preserve">Megacero torso </t>
  </si>
  <si>
    <t xml:space="preserve">Megacero tail </t>
  </si>
  <si>
    <t xml:space="preserve">Pachysaurus skull </t>
  </si>
  <si>
    <t xml:space="preserve">Pachysaurus torso </t>
  </si>
  <si>
    <t xml:space="preserve">Pachysaurus tail </t>
  </si>
  <si>
    <t xml:space="preserve">Parasaur skull </t>
  </si>
  <si>
    <t xml:space="preserve">Parasaur torso </t>
  </si>
  <si>
    <t xml:space="preserve">Parasaur tail </t>
  </si>
  <si>
    <t xml:space="preserve">Peking man </t>
  </si>
  <si>
    <t xml:space="preserve">Plesio skull </t>
  </si>
  <si>
    <t xml:space="preserve">Plesio neck </t>
  </si>
  <si>
    <t xml:space="preserve">Plesio torso </t>
  </si>
  <si>
    <t xml:space="preserve">Ptera left wing </t>
  </si>
  <si>
    <t xml:space="preserve">Ptera right wing </t>
  </si>
  <si>
    <t xml:space="preserve">Ptera skull </t>
  </si>
  <si>
    <t xml:space="preserve">Raptor skull </t>
  </si>
  <si>
    <t xml:space="preserve">Raptor torso </t>
  </si>
  <si>
    <t xml:space="preserve">Sabertooth skull </t>
  </si>
  <si>
    <t xml:space="preserve">Sabertooth torso </t>
  </si>
  <si>
    <t xml:space="preserve">Shark tooth </t>
  </si>
  <si>
    <t xml:space="preserve">Spino skull </t>
  </si>
  <si>
    <t xml:space="preserve">Spino torso </t>
  </si>
  <si>
    <t xml:space="preserve">Spino tail </t>
  </si>
  <si>
    <t xml:space="preserve">Stego skull </t>
  </si>
  <si>
    <t xml:space="preserve">Stego torso </t>
  </si>
  <si>
    <t xml:space="preserve">Stego tail </t>
  </si>
  <si>
    <t xml:space="preserve">Styraco skull </t>
  </si>
  <si>
    <t xml:space="preserve">Styraco torso </t>
  </si>
  <si>
    <t xml:space="preserve">Styraco tail </t>
  </si>
  <si>
    <t xml:space="preserve">T. rex skull </t>
  </si>
  <si>
    <t xml:space="preserve">T. rex torso </t>
  </si>
  <si>
    <t xml:space="preserve">T. rex tail </t>
  </si>
  <si>
    <t xml:space="preserve">Tricera skull </t>
  </si>
  <si>
    <t xml:space="preserve">Tricera torso </t>
  </si>
  <si>
    <t xml:space="preserve">Tricera tail </t>
  </si>
  <si>
    <t>Trilobite</t>
  </si>
  <si>
    <t>Location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</si>
  <si>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</si>
  <si>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</si>
  <si>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</si>
  <si>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</si>
  <si>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</si>
  <si>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</si>
  <si>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</si>
  <si>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</si>
  <si>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</si>
  <si>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</si>
  <si>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</si>
  <si>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Agrias Butterfly </t>
  </si>
  <si>
    <t xml:space="preserve">Flying near flowers </t>
  </si>
  <si>
    <t xml:space="preserve">8am - 5pm </t>
  </si>
  <si>
    <t>x</t>
  </si>
  <si>
    <t xml:space="preserve">Ant </t>
  </si>
  <si>
    <t xml:space="preserve">On rotten food </t>
  </si>
  <si>
    <t xml:space="preserve">All day </t>
  </si>
  <si>
    <t xml:space="preserve">Bagworm </t>
  </si>
  <si>
    <t xml:space="preserve">In trees </t>
  </si>
  <si>
    <t xml:space="preserve">Banded Dragonfly </t>
  </si>
  <si>
    <t xml:space="preserve">Flying </t>
  </si>
  <si>
    <t xml:space="preserve">Bee </t>
  </si>
  <si>
    <t xml:space="preserve">Bell Cricket </t>
  </si>
  <si>
    <t xml:space="preserve">On the ground </t>
  </si>
  <si>
    <t xml:space="preserve">5pm - 8am </t>
  </si>
  <si>
    <t xml:space="preserve">Birdwing Butterfly </t>
  </si>
  <si>
    <t xml:space="preserve">8am - 4pm </t>
  </si>
  <si>
    <t xml:space="preserve">Brown Cicada </t>
  </si>
  <si>
    <t xml:space="preserve">On trees </t>
  </si>
  <si>
    <t xml:space="preserve">Centipede </t>
  </si>
  <si>
    <t xml:space="preserve">Under rocks </t>
  </si>
  <si>
    <t xml:space="preserve">4pm - 11pm </t>
  </si>
  <si>
    <t xml:space="preserve">Cicada Shell </t>
  </si>
  <si>
    <t xml:space="preserve">Common Butterfly </t>
  </si>
  <si>
    <t xml:space="preserve">4am - 7pm </t>
  </si>
  <si>
    <t xml:space="preserve">Cricket </t>
  </si>
  <si>
    <t xml:space="preserve">Cyclommatus Stag </t>
  </si>
  <si>
    <t xml:space="preserve">On palm trees </t>
  </si>
  <si>
    <t xml:space="preserve">Darner Dragonfly </t>
  </si>
  <si>
    <t xml:space="preserve">Diving Beetle </t>
  </si>
  <si>
    <t xml:space="preserve">Rivers and ponds </t>
  </si>
  <si>
    <t xml:space="preserve">Dung Beetle </t>
  </si>
  <si>
    <t xml:space="preserve">Snow balls </t>
  </si>
  <si>
    <t xml:space="preserve">Emperor Butterfly </t>
  </si>
  <si>
    <t xml:space="preserve">8pm - 7am </t>
  </si>
  <si>
    <t xml:space="preserve">Evening Cicada </t>
  </si>
  <si>
    <t xml:space="preserve">4pm - 7pm </t>
  </si>
  <si>
    <t xml:space="preserve">Firefly </t>
  </si>
  <si>
    <t xml:space="preserve">Flying near river </t>
  </si>
  <si>
    <t xml:space="preserve">7pm - 4am </t>
  </si>
  <si>
    <t xml:space="preserve">Flea </t>
  </si>
  <si>
    <t xml:space="preserve">On villagers </t>
  </si>
  <si>
    <t xml:space="preserve">Fly </t>
  </si>
  <si>
    <t xml:space="preserve">Flying near trash </t>
  </si>
  <si>
    <t xml:space="preserve">Fruit Beetle </t>
  </si>
  <si>
    <t xml:space="preserve">Giant Cicada </t>
  </si>
  <si>
    <t xml:space="preserve">Giant Petaltail </t>
  </si>
  <si>
    <t xml:space="preserve">5pm - 7pm </t>
  </si>
  <si>
    <t xml:space="preserve">Giant Stag </t>
  </si>
  <si>
    <t xml:space="preserve">11pm - 7am </t>
  </si>
  <si>
    <t xml:space="preserve">Golden Stag </t>
  </si>
  <si>
    <t xml:space="preserve">Goliath Beetle </t>
  </si>
  <si>
    <t xml:space="preserve">7pm - 8am </t>
  </si>
  <si>
    <t xml:space="preserve">Grasshopper </t>
  </si>
  <si>
    <t xml:space="preserve">Hermit Crab </t>
  </si>
  <si>
    <t xml:space="preserve">On the beach </t>
  </si>
  <si>
    <t xml:space="preserve">Honeybee </t>
  </si>
  <si>
    <t xml:space="preserve">Horned Atlas </t>
  </si>
  <si>
    <t xml:space="preserve">Horned Dynastid </t>
  </si>
  <si>
    <t xml:space="preserve">Horned Elephant </t>
  </si>
  <si>
    <t xml:space="preserve">Horned Hercules </t>
  </si>
  <si>
    <t xml:space="preserve">House Centipede </t>
  </si>
  <si>
    <t xml:space="preserve">Jewel Beetle </t>
  </si>
  <si>
    <t xml:space="preserve">Ladybug </t>
  </si>
  <si>
    <t xml:space="preserve">On flowers </t>
  </si>
  <si>
    <t xml:space="preserve">Lantern Fly </t>
  </si>
  <si>
    <t xml:space="preserve">4pm - 8am </t>
  </si>
  <si>
    <t xml:space="preserve">Long Locust </t>
  </si>
  <si>
    <t xml:space="preserve">8am - 7pm </t>
  </si>
  <si>
    <t xml:space="preserve">Longhorn Beetle </t>
  </si>
  <si>
    <t xml:space="preserve">Tree stumps </t>
  </si>
  <si>
    <t xml:space="preserve">11am - 6pm </t>
  </si>
  <si>
    <t xml:space="preserve">Mantis </t>
  </si>
  <si>
    <t xml:space="preserve">Migratory Locust </t>
  </si>
  <si>
    <t xml:space="preserve">Miyama Stag </t>
  </si>
  <si>
    <t xml:space="preserve">Mole Cricket </t>
  </si>
  <si>
    <t xml:space="preserve">Underground </t>
  </si>
  <si>
    <t xml:space="preserve">Monarch Butterfly </t>
  </si>
  <si>
    <t xml:space="preserve">9am - 5pm </t>
  </si>
  <si>
    <t xml:space="preserve">Mosquito </t>
  </si>
  <si>
    <t xml:space="preserve">5pm - 4am </t>
  </si>
  <si>
    <t xml:space="preserve">Moth </t>
  </si>
  <si>
    <t xml:space="preserve">Flying near lights </t>
  </si>
  <si>
    <t xml:space="preserve">Oak Silk Moth </t>
  </si>
  <si>
    <t xml:space="preserve">Orchid Mantis </t>
  </si>
  <si>
    <t xml:space="preserve">On white flowers </t>
  </si>
  <si>
    <t xml:space="preserve">Peacock Butterfly </t>
  </si>
  <si>
    <t xml:space="preserve">Flying near flowers* </t>
  </si>
  <si>
    <t xml:space="preserve">Pill Bug </t>
  </si>
  <si>
    <t xml:space="preserve">Pondskater </t>
  </si>
  <si>
    <t xml:space="preserve">River and ponds </t>
  </si>
  <si>
    <t xml:space="preserve">Rainbow Stag </t>
  </si>
  <si>
    <t xml:space="preserve">Raja Brooke Butterfly </t>
  </si>
  <si>
    <t xml:space="preserve">Red Dragonfly </t>
  </si>
  <si>
    <t xml:space="preserve">Rice Grasshopper </t>
  </si>
  <si>
    <t xml:space="preserve">Robust Cicada </t>
  </si>
  <si>
    <t xml:space="preserve">Saw Stag </t>
  </si>
  <si>
    <t xml:space="preserve">Scarab Beetle </t>
  </si>
  <si>
    <t xml:space="preserve">11pm - 8am </t>
  </si>
  <si>
    <t xml:space="preserve">Scorpion </t>
  </si>
  <si>
    <t xml:space="preserve">Snail </t>
  </si>
  <si>
    <t xml:space="preserve">On bushes (raining) </t>
  </si>
  <si>
    <t xml:space="preserve">Spider </t>
  </si>
  <si>
    <t xml:space="preserve">Stinkbug </t>
  </si>
  <si>
    <t xml:space="preserve">Tarantula </t>
  </si>
  <si>
    <t xml:space="preserve">Tiger Beetle </t>
  </si>
  <si>
    <t xml:space="preserve">8am - 11pm </t>
  </si>
  <si>
    <t xml:space="preserve">Tiger Butterfly </t>
  </si>
  <si>
    <t xml:space="preserve">Violin Beetle </t>
  </si>
  <si>
    <t xml:space="preserve">Walker Cicada </t>
  </si>
  <si>
    <t xml:space="preserve">Walking Leaf </t>
  </si>
  <si>
    <t xml:space="preserve">Walking Stick </t>
  </si>
  <si>
    <t xml:space="preserve">Wharf Roach </t>
  </si>
  <si>
    <t xml:space="preserve">Yellow Butterfly </t>
  </si>
  <si>
    <t xml:space="preserve">6am - 4pm </t>
  </si>
  <si>
    <t>Size</t>
  </si>
  <si>
    <t xml:space="preserve">Angelfish </t>
  </si>
  <si>
    <t xml:space="preserve">River </t>
  </si>
  <si>
    <t xml:space="preserve">4pm - 9am </t>
  </si>
  <si>
    <t xml:space="preserve">Arapaima </t>
  </si>
  <si>
    <t xml:space="preserve">Arowana </t>
  </si>
  <si>
    <t>4pm - 9am (until Sep 15)</t>
  </si>
  <si>
    <t xml:space="preserve">Barbel Steed </t>
  </si>
  <si>
    <t xml:space="preserve">Barred Knifejaw </t>
  </si>
  <si>
    <t xml:space="preserve">Ocean </t>
  </si>
  <si>
    <t xml:space="preserve">Bitterling </t>
  </si>
  <si>
    <t xml:space="preserve">Black Bass </t>
  </si>
  <si>
    <t xml:space="preserve">Blowfish </t>
  </si>
  <si>
    <t xml:space="preserve">Blue Marlin </t>
  </si>
  <si>
    <t xml:space="preserve">Bluegill </t>
  </si>
  <si>
    <t xml:space="preserve">9am - 4pm </t>
  </si>
  <si>
    <t xml:space="preserve">Butterflyfish </t>
  </si>
  <si>
    <t xml:space="preserve">Carp </t>
  </si>
  <si>
    <t xml:space="preserve">Catfish </t>
  </si>
  <si>
    <t xml:space="preserve">Lake </t>
  </si>
  <si>
    <t xml:space="preserve">Char </t>
  </si>
  <si>
    <t xml:space="preserve">Waterfall </t>
  </si>
  <si>
    <t>4am - 9am, 4pm - 9pm</t>
  </si>
  <si>
    <t xml:space="preserve">Cherry Salmon </t>
  </si>
  <si>
    <t xml:space="preserve">Clownfish </t>
  </si>
  <si>
    <t xml:space="preserve">Coelacanth </t>
  </si>
  <si>
    <t xml:space="preserve">Ocean (rain) </t>
  </si>
  <si>
    <t xml:space="preserve">Crawfish </t>
  </si>
  <si>
    <t xml:space="preserve">Pond </t>
  </si>
  <si>
    <t>All day (until Sep 15)</t>
  </si>
  <si>
    <t xml:space="preserve">Crucian Carp </t>
  </si>
  <si>
    <t xml:space="preserve">Dab </t>
  </si>
  <si>
    <t xml:space="preserve">Dace </t>
  </si>
  <si>
    <t xml:space="preserve">Dorado </t>
  </si>
  <si>
    <t xml:space="preserve">4am - 9pm </t>
  </si>
  <si>
    <t xml:space="preserve">Eel </t>
  </si>
  <si>
    <t xml:space="preserve">Thin </t>
  </si>
  <si>
    <t xml:space="preserve">Football Fish </t>
  </si>
  <si>
    <t xml:space="preserve">Freshwater Goby </t>
  </si>
  <si>
    <t xml:space="preserve">Frog </t>
  </si>
  <si>
    <t xml:space="preserve">Gar </t>
  </si>
  <si>
    <t xml:space="preserve">Giant Snakehead </t>
  </si>
  <si>
    <t xml:space="preserve">Giant Trevally </t>
  </si>
  <si>
    <t xml:space="preserve">Island </t>
  </si>
  <si>
    <t xml:space="preserve">Goldfish </t>
  </si>
  <si>
    <t xml:space="preserve">Guppy </t>
  </si>
  <si>
    <t xml:space="preserve">Hammerhead Shark </t>
  </si>
  <si>
    <t xml:space="preserve">Fin </t>
  </si>
  <si>
    <t xml:space="preserve">Horse Mackerel </t>
  </si>
  <si>
    <t xml:space="preserve">Killifish </t>
  </si>
  <si>
    <t xml:space="preserve">King Salmon </t>
  </si>
  <si>
    <t xml:space="preserve">Koi </t>
  </si>
  <si>
    <t xml:space="preserve">Loach </t>
  </si>
  <si>
    <t xml:space="preserve">Mitten Crab </t>
  </si>
  <si>
    <t>4pm - 9am (after Sep 15)</t>
  </si>
  <si>
    <t xml:space="preserve">Moray Eel </t>
  </si>
  <si>
    <t xml:space="preserve">All Day </t>
  </si>
  <si>
    <t xml:space="preserve">Napoleonfish </t>
  </si>
  <si>
    <t xml:space="preserve">Neon Tetra </t>
  </si>
  <si>
    <t xml:space="preserve">Nibble Fish </t>
  </si>
  <si>
    <t xml:space="preserve">Oarfish </t>
  </si>
  <si>
    <t xml:space="preserve">Ocean Sunfish </t>
  </si>
  <si>
    <t xml:space="preserve">Olive Flounder </t>
  </si>
  <si>
    <t xml:space="preserve">Pale Chub </t>
  </si>
  <si>
    <t xml:space="preserve">Pike </t>
  </si>
  <si>
    <t xml:space="preserve">Piranha </t>
  </si>
  <si>
    <t>9am - 4am (until Sep 15)</t>
  </si>
  <si>
    <t xml:space="preserve">Pond Smelt </t>
  </si>
  <si>
    <t xml:space="preserve">Popeyed Goldfish </t>
  </si>
  <si>
    <t xml:space="preserve">Puffer Fish </t>
  </si>
  <si>
    <t xml:space="preserve">Rainbow Trout </t>
  </si>
  <si>
    <t xml:space="preserve">Ray </t>
  </si>
  <si>
    <t xml:space="preserve">Ocean/Island </t>
  </si>
  <si>
    <t xml:space="preserve">Red Snapper </t>
  </si>
  <si>
    <t xml:space="preserve">Ribbon Eel </t>
  </si>
  <si>
    <t xml:space="preserve">Saddled Bichir </t>
  </si>
  <si>
    <t xml:space="preserve">9pm - 4am </t>
  </si>
  <si>
    <t xml:space="preserve">Salmon </t>
  </si>
  <si>
    <t xml:space="preserve">Saw Shark </t>
  </si>
  <si>
    <t xml:space="preserve">Sea Bass </t>
  </si>
  <si>
    <t xml:space="preserve">Sea Butterfly </t>
  </si>
  <si>
    <t xml:space="preserve">Seahorse </t>
  </si>
  <si>
    <t xml:space="preserve">Shark </t>
  </si>
  <si>
    <t xml:space="preserve">Soft Shelled Turtle </t>
  </si>
  <si>
    <t xml:space="preserve">Squid </t>
  </si>
  <si>
    <t xml:space="preserve">Stringfish </t>
  </si>
  <si>
    <t xml:space="preserve">Surgeonfish </t>
  </si>
  <si>
    <t xml:space="preserve">Sweetfish </t>
  </si>
  <si>
    <t xml:space="preserve">Tadpole </t>
  </si>
  <si>
    <t xml:space="preserve">Tuna </t>
  </si>
  <si>
    <t xml:space="preserve">Whale Shark </t>
  </si>
  <si>
    <t xml:space="preserve">Yellow Perch </t>
  </si>
  <si>
    <t xml:space="preserve">Zebra Turkeyfish </t>
  </si>
  <si>
    <t xml:space="preserve">Size </t>
  </si>
  <si>
    <t xml:space="preserve">Time </t>
  </si>
  <si>
    <t xml:space="preserve">Abalone </t>
  </si>
  <si>
    <t xml:space="preserve">Medium </t>
  </si>
  <si>
    <t xml:space="preserve">Acorn Barnacle </t>
  </si>
  <si>
    <t xml:space="preserve">Tiny </t>
  </si>
  <si>
    <t xml:space="preserve">Chambered Nautilus </t>
  </si>
  <si>
    <t xml:space="preserve">Clam </t>
  </si>
  <si>
    <t xml:space="preserve">Small </t>
  </si>
  <si>
    <t xml:space="preserve">Ear Shell </t>
  </si>
  <si>
    <t xml:space="preserve">Flatworm </t>
  </si>
  <si>
    <t xml:space="preserve">Giant Isopod </t>
  </si>
  <si>
    <t xml:space="preserve">Giant Spider Crab </t>
  </si>
  <si>
    <t xml:space="preserve">V.Large </t>
  </si>
  <si>
    <t xml:space="preserve">Horsehair Crab </t>
  </si>
  <si>
    <t xml:space="preserve">Horseshoe Crab </t>
  </si>
  <si>
    <t xml:space="preserve">Lobster </t>
  </si>
  <si>
    <t xml:space="preserve">Large </t>
  </si>
  <si>
    <t xml:space="preserve">Mantis Shrimp </t>
  </si>
  <si>
    <t xml:space="preserve">Octopus </t>
  </si>
  <si>
    <t xml:space="preserve">Oyster </t>
  </si>
  <si>
    <t xml:space="preserve">Pearl Oyster </t>
  </si>
  <si>
    <t xml:space="preserve">Red King Crab </t>
  </si>
  <si>
    <t xml:space="preserve">Spiny Lobster </t>
  </si>
  <si>
    <t xml:space="preserve">Scallop </t>
  </si>
  <si>
    <t xml:space="preserve">Sea Anemone </t>
  </si>
  <si>
    <t xml:space="preserve">Sea Cucumber </t>
  </si>
  <si>
    <t xml:space="preserve">Sea Grapes </t>
  </si>
  <si>
    <t xml:space="preserve">Sea Slug </t>
  </si>
  <si>
    <t xml:space="preserve">Sea Star </t>
  </si>
  <si>
    <t xml:space="preserve">Sea Urchin </t>
  </si>
  <si>
    <t xml:space="preserve">Seaweed </t>
  </si>
  <si>
    <t xml:space="preserve">Snow Crab </t>
  </si>
  <si>
    <t xml:space="preserve">Spotted Garden Eel </t>
  </si>
  <si>
    <t xml:space="preserve">Sweet Shrimp </t>
  </si>
  <si>
    <t xml:space="preserve">Tiger Prawn </t>
  </si>
  <si>
    <t xml:space="preserve">Turban Shell </t>
  </si>
  <si>
    <t>Genuine</t>
  </si>
  <si>
    <t>Fake</t>
  </si>
  <si>
    <t xml:space="preserve">Amazing Painting </t>
  </si>
  <si>
    <t xml:space="preserve">Man in white is on the right </t>
  </si>
  <si>
    <t>Man in white is on the left</t>
  </si>
  <si>
    <t xml:space="preserve">Basic Painting </t>
  </si>
  <si>
    <t xml:space="preserve">One arm is bent </t>
  </si>
  <si>
    <t>Both arms are bent at his sides</t>
  </si>
  <si>
    <t xml:space="preserve">Calm Painting </t>
  </si>
  <si>
    <t xml:space="preserve">Always genuine </t>
  </si>
  <si>
    <t>No fake</t>
  </si>
  <si>
    <t xml:space="preserve">Common Painting </t>
  </si>
  <si>
    <t xml:space="preserve">Dynamic Painting </t>
  </si>
  <si>
    <t xml:space="preserve">Mt Fuji is small </t>
  </si>
  <si>
    <t>Mt Fuji is large and takes up most of space under the wave</t>
  </si>
  <si>
    <t xml:space="preserve">Famous Painting </t>
  </si>
  <si>
    <t xml:space="preserve">Fingers point to bottom right of picture </t>
  </si>
  <si>
    <t>Fingers pointing to bottom left of picture</t>
  </si>
  <si>
    <t xml:space="preserve">Fine Painting </t>
  </si>
  <si>
    <t xml:space="preserve">Flowery Painting </t>
  </si>
  <si>
    <t xml:space="preserve">Graceful Painting </t>
  </si>
  <si>
    <t xml:space="preserve">Looking to the right </t>
  </si>
  <si>
    <t>Looking to the left</t>
  </si>
  <si>
    <t xml:space="preserve">Jolly Painting </t>
  </si>
  <si>
    <t xml:space="preserve">Nose is made of green vegetable </t>
  </si>
  <si>
    <t>Nose is made of carrot and has leaves hanging out</t>
  </si>
  <si>
    <t xml:space="preserve">Moody Painting </t>
  </si>
  <si>
    <t xml:space="preserve">Moving Painting </t>
  </si>
  <si>
    <t xml:space="preserve">Shell is right way up </t>
  </si>
  <si>
    <t>Upside-down shell</t>
  </si>
  <si>
    <t xml:space="preserve">Neutral Painting </t>
  </si>
  <si>
    <t xml:space="preserve">No insect made holes on the big green leaf </t>
  </si>
  <si>
    <t>Big green leaf has a hole from being eaten by insects</t>
  </si>
  <si>
    <t xml:space="preserve">Nice Painting </t>
  </si>
  <si>
    <t xml:space="preserve">Perfect Painting </t>
  </si>
  <si>
    <t xml:space="preserve">Proper Painting </t>
  </si>
  <si>
    <t xml:space="preserve">Quaint Painting </t>
  </si>
  <si>
    <t xml:space="preserve">Wearing a white hat </t>
  </si>
  <si>
    <t>Not wearing a hat</t>
  </si>
  <si>
    <t xml:space="preserve">Scary Painting </t>
  </si>
  <si>
    <t xml:space="preserve">All fingers sticking out </t>
  </si>
  <si>
    <t>Only one finger on each hand pointing out</t>
  </si>
  <si>
    <t xml:space="preserve">Scenic Painting </t>
  </si>
  <si>
    <t xml:space="preserve">Serene Painting </t>
  </si>
  <si>
    <t xml:space="preserve">Holding a skinny white ermine </t>
  </si>
  <si>
    <t>Holding a fluffy white cat</t>
  </si>
  <si>
    <t xml:space="preserve">Solemn Painting </t>
  </si>
  <si>
    <t xml:space="preserve">Both girls are about the same height </t>
  </si>
  <si>
    <t>Blonde girl is twice as tall as girl to the left</t>
  </si>
  <si>
    <t xml:space="preserve">Strange Painting </t>
  </si>
  <si>
    <t xml:space="preserve">Light colored pane is on the left </t>
  </si>
  <si>
    <t>Light colored pane is on the right</t>
  </si>
  <si>
    <t xml:space="preserve">Warm Painting </t>
  </si>
  <si>
    <t xml:space="preserve">Wild Painting </t>
  </si>
  <si>
    <t xml:space="preserve">White God on left side </t>
  </si>
  <si>
    <t>White God on right side</t>
  </si>
  <si>
    <t xml:space="preserve">Wistful Painting </t>
  </si>
  <si>
    <t xml:space="preserve">Head cover is blue </t>
  </si>
  <si>
    <t>Head cover is red</t>
  </si>
  <si>
    <t xml:space="preserve">Worthy Painting </t>
  </si>
  <si>
    <t>Learned?</t>
  </si>
  <si>
    <t>Emotion</t>
  </si>
  <si>
    <t>Aggravation</t>
  </si>
  <si>
    <t xml:space="preserve">Agreement </t>
  </si>
  <si>
    <t>Anger</t>
  </si>
  <si>
    <t xml:space="preserve">Bashfulness </t>
  </si>
  <si>
    <t>Cold Chill</t>
  </si>
  <si>
    <t xml:space="preserve">Curiosity </t>
  </si>
  <si>
    <t>Daydreaming</t>
  </si>
  <si>
    <t xml:space="preserve">Delight </t>
  </si>
  <si>
    <t>Disagreement</t>
  </si>
  <si>
    <t xml:space="preserve">Disbelief </t>
  </si>
  <si>
    <t xml:space="preserve">Distress </t>
  </si>
  <si>
    <t>Fearful</t>
  </si>
  <si>
    <t>Flourish</t>
  </si>
  <si>
    <t xml:space="preserve">Glee </t>
  </si>
  <si>
    <t>Greetings</t>
  </si>
  <si>
    <t xml:space="preserve">Happiness </t>
  </si>
  <si>
    <t xml:space="preserve">Heartbreak </t>
  </si>
  <si>
    <t xml:space="preserve">Inspiration </t>
  </si>
  <si>
    <t>Joy</t>
  </si>
  <si>
    <t xml:space="preserve">Laughter </t>
  </si>
  <si>
    <t xml:space="preserve">Love </t>
  </si>
  <si>
    <t xml:space="preserve">Mischief </t>
  </si>
  <si>
    <t>Mistaken</t>
  </si>
  <si>
    <t xml:space="preserve">Outrage </t>
  </si>
  <si>
    <t>Pride</t>
  </si>
  <si>
    <t xml:space="preserve">Resignation </t>
  </si>
  <si>
    <t xml:space="preserve">Sadness </t>
  </si>
  <si>
    <t>Sheepishness</t>
  </si>
  <si>
    <t>Shocked</t>
  </si>
  <si>
    <t>Showmanship</t>
  </si>
  <si>
    <t>Shrunk Funk Shuffle</t>
  </si>
  <si>
    <t>Shyness</t>
  </si>
  <si>
    <t>Sighing</t>
  </si>
  <si>
    <t>Sleepy</t>
  </si>
  <si>
    <t>Sneezing</t>
  </si>
  <si>
    <t>Sorrow</t>
  </si>
  <si>
    <t xml:space="preserve">Sunniness </t>
  </si>
  <si>
    <t>Surprise</t>
  </si>
  <si>
    <t>Thought</t>
  </si>
  <si>
    <t>Worry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</si>
</sst>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abSelected="1" workbookViewId="0">
      <selection activeCell="K26" sqref="K26"/>
    </sheetView>
  </sheetViews>
  <sheetFormatPr baseColWidth="10" defaultColWidth="8.83203125" defaultRowHeight="15" x14ac:dyDescent="0.2"/>
  <cols>
    <col min="1" max="7" width="11.6640625" customWidth="1"/>
  </cols>
  <sheetData>
    <row r="1" spans="1:5" x14ac:dyDescent="0.2">
      <c r="A1" s="7" t="s">
        <v>0</v>
      </c>
      <c r="B1" s="8"/>
      <c r="C1" s="8"/>
      <c r="D1" s="9"/>
    </row>
    <row r="2" spans="1:5" x14ac:dyDescent="0.2">
      <c r="A2" s="11" t="s">
        <v>2</v>
      </c>
      <c r="B2" s="5" t="s">
        <v>3</v>
      </c>
      <c r="C2" s="6" t="str">
        <f>IFERROR(ROUND(SUMIFS(Turnips!$A:$A,Turnips!$B:$B,1,Turnips!$C:$C,1)/COUNTIFS(Turnips!$B:$B,1,Turnips!$C:$C,1),2),"no data")</f>
        <v>no data</v>
      </c>
      <c r="D2" s="10" t="str">
        <f>IFERROR(ROUND(SUMIF(Turnips!$B:$B,1,Turnips!$A:$A)/COUNTIF(Turnips!$B:$B,1),2),"no data")</f>
        <v>no data</v>
      </c>
    </row>
    <row r="3" spans="1:5" x14ac:dyDescent="0.2">
      <c r="A3" s="11"/>
      <c r="B3" s="5" t="s">
        <v>4</v>
      </c>
      <c r="C3" s="6" t="str">
        <f>IFERROR(ROUND(SUMIFS(Turnips!$A:$A,Turnips!$B:$B,1,Turnips!$C:$C,2)/COUNTIFS(Turnips!$B:$B,1,Turnips!$C:$C,2),2),"no data")</f>
        <v>no data</v>
      </c>
      <c r="D3" s="10"/>
    </row>
    <row r="4" spans="1:5" x14ac:dyDescent="0.2">
      <c r="A4" s="11" t="s">
        <v>5</v>
      </c>
      <c r="B4" s="5" t="s">
        <v>3</v>
      </c>
      <c r="C4" s="6" t="str">
        <f>IFERROR(ROUND(SUMIFS(Turnips!$A:$A,Turnips!$B:$B,2,Turnips!$C:$C,1)/COUNTIFS(Turnips!$B:$B,2,Turnips!$C:$C,1),2),"no data")</f>
        <v>no data</v>
      </c>
      <c r="D4" s="10" t="str">
        <f>IFERROR(ROUND(SUMIF(Turnips!$B:$B,2,Turnips!$A:$A)/COUNTIF(Turnips!$B:$B,2),2),"no data")</f>
        <v>no data</v>
      </c>
    </row>
    <row r="5" spans="1:5" x14ac:dyDescent="0.2">
      <c r="A5" s="11"/>
      <c r="B5" s="5" t="s">
        <v>4</v>
      </c>
      <c r="C5" s="6" t="str">
        <f>IFERROR(ROUND(SUMIFS(Turnips!$A:$A,Turnips!$B:$B,2,Turnips!$C:$C,2)/COUNTIFS(Turnips!$B:$B,2,Turnips!$C:$C,2),2),"no data")</f>
        <v>no data</v>
      </c>
      <c r="D5" s="10"/>
    </row>
    <row r="6" spans="1:5" x14ac:dyDescent="0.2">
      <c r="A6" s="11" t="s">
        <v>6</v>
      </c>
      <c r="B6" s="5" t="s">
        <v>3</v>
      </c>
      <c r="C6" s="6" t="str">
        <f>IFERROR(ROUND(SUMIFS(Turnips!$A:$A,Turnips!$B:$B,3,Turnips!$C:$C,1)/COUNTIFS(Turnips!$B:$B,3,Turnips!$C:$C,1),2),"no data")</f>
        <v>no data</v>
      </c>
      <c r="D6" s="10" t="str">
        <f>IFERROR(ROUND(SUMIF(Turnips!$B:$B,3,Turnips!$A:$A)/COUNTIF(Turnips!$B:$B,3),2),"no data")</f>
        <v>no data</v>
      </c>
    </row>
    <row r="7" spans="1:5" x14ac:dyDescent="0.2">
      <c r="A7" s="11"/>
      <c r="B7" s="5" t="s">
        <v>4</v>
      </c>
      <c r="C7" s="6" t="str">
        <f>IFERROR(ROUND(SUMIFS(Turnips!$A:$A,Turnips!$B:$B,3,Turnips!$C:$C,2)/COUNTIFS(Turnips!$B:$B,3,Turnips!$C:$C,2),2),"no data")</f>
        <v>no data</v>
      </c>
      <c r="D7" s="10"/>
    </row>
    <row r="8" spans="1:5" x14ac:dyDescent="0.2">
      <c r="A8" s="11" t="s">
        <v>7</v>
      </c>
      <c r="B8" s="5" t="s">
        <v>3</v>
      </c>
      <c r="C8" s="6" t="str">
        <f>IFERROR(ROUND(SUMIFS(Turnips!$A:$A,Turnips!$B:$B,4,Turnips!$C:$C,1)/COUNTIFS(Turnips!$B:$B,4,Turnips!$C:$C,1),2),"no data")</f>
        <v>no data</v>
      </c>
      <c r="D8" s="10" t="str">
        <f>IFERROR(ROUND(SUMIF(Turnips!$B:$B,4,Turnips!$A:$A)/COUNTIF(Turnips!$B:$B,4),2),"no data")</f>
        <v>no data</v>
      </c>
    </row>
    <row r="9" spans="1:5" x14ac:dyDescent="0.2">
      <c r="A9" s="11"/>
      <c r="B9" s="5" t="s">
        <v>4</v>
      </c>
      <c r="C9" s="6" t="str">
        <f>IFERROR(ROUND(SUMIFS(Turnips!$A:$A,Turnips!$B:$B,4,Turnips!$C:$C,2)/COUNTIFS(Turnips!$B:$B,4,Turnips!$C:$C,2),2),"no data")</f>
        <v>no data</v>
      </c>
      <c r="D9" s="10"/>
    </row>
    <row r="10" spans="1:5" x14ac:dyDescent="0.2">
      <c r="A10" s="11" t="s">
        <v>8</v>
      </c>
      <c r="B10" s="5" t="s">
        <v>3</v>
      </c>
      <c r="C10" s="6" t="str">
        <f>IFERROR(ROUND(SUMIFS(Turnips!$A:$A,Turnips!$B:$B,5,Turnips!$C:$C,1)/COUNTIFS(Turnips!$B:$B,5,Turnips!$C:$C,1),2),"no data")</f>
        <v>no data</v>
      </c>
      <c r="D10" s="10" t="str">
        <f>IFERROR(ROUND(SUMIF(Turnips!$B:$B,5,Turnips!$A:$A)/COUNTIF(Turnips!$B:$B,5),2),"no data")</f>
        <v>no data</v>
      </c>
    </row>
    <row r="11" spans="1:5" x14ac:dyDescent="0.2">
      <c r="A11" s="11"/>
      <c r="B11" s="5" t="s">
        <v>4</v>
      </c>
      <c r="C11" s="6" t="str">
        <f>IFERROR(ROUND(SUMIFS(Turnips!$A:$A,Turnips!$B:$B,5,Turnips!$C:$C,2)/COUNTIFS(Turnips!$B:$B,5,Turnips!$C:$C,2),2),"no data")</f>
        <v>no data</v>
      </c>
      <c r="D11" s="10"/>
    </row>
    <row r="12" spans="1:5" x14ac:dyDescent="0.2">
      <c r="A12" s="11" t="s">
        <v>9</v>
      </c>
      <c r="B12" s="5" t="s">
        <v>3</v>
      </c>
      <c r="C12" s="6" t="str">
        <f>IFERROR(ROUND(SUMIFS(Turnips!$A:$A,Turnips!$B:$B,6,Turnips!$C:$C,1)/COUNTIFS(Turnips!$B:$B,6,Turnips!$C:$C,1),2),"no data")</f>
        <v>no data</v>
      </c>
      <c r="D12" s="10" t="str">
        <f>IFERROR(ROUND(SUMIF(Turnips!$B:$B,6,Turnips!$A:$A)/COUNTIF(Turnips!$B:$B,6),2),"no data")</f>
        <v>no data</v>
      </c>
    </row>
    <row r="13" spans="1:5" x14ac:dyDescent="0.2">
      <c r="A13" s="11"/>
      <c r="B13" s="5" t="s">
        <v>4</v>
      </c>
      <c r="C13" s="6" t="str">
        <f>IFERROR(ROUND(SUMIFS(Turnips!$A:$A,Turnips!$B:$B,6,Turnips!$C:$C,2)/COUNTIFS(Turnips!$B:$B,6,Turnips!$C:$C,2),2),"no data")</f>
        <v>no data</v>
      </c>
      <c r="D13" s="10"/>
    </row>
    <row r="15" spans="1:5" x14ac:dyDescent="0.2">
      <c r="A15" s="4" t="s">
        <v>10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5" x14ac:dyDescent="0.2">
      <c r="A16" s="5" t="s">
        <v>15</v>
      </c>
      <c r="B16" s="6" t="str">
        <f>ROUND((C16/D16)*100, 0)&amp;"%"</f>
        <v>0%</v>
      </c>
      <c r="C16" s="6">
        <f>COUNTA(Furniture!A:A)-1</f>
        <v>0</v>
      </c>
      <c r="D16" s="6">
        <f>COUNTA(Furniture!B:B)-1</f>
        <v>1271</v>
      </c>
      <c r="E16" s="6">
        <f>D16-C16</f>
        <v>1271</v>
      </c>
    </row>
    <row r="17" spans="1:5" x14ac:dyDescent="0.2">
      <c r="A17" s="5" t="s">
        <v>16</v>
      </c>
      <c r="B17" s="6" t="str">
        <f t="shared" ref="B17:B28" si="0">ROUND((C17/D17)*100, 0)&amp;"%"</f>
        <v>0%</v>
      </c>
      <c r="C17" s="6">
        <f>COUNTA(Wallpapers!A:A)-1</f>
        <v>0</v>
      </c>
      <c r="D17" s="6">
        <f>COUNTA(Wallpapers!B:B)-1</f>
        <v>124</v>
      </c>
      <c r="E17" s="6">
        <f t="shared" ref="E17:E28" si="1">D17-C17</f>
        <v>124</v>
      </c>
    </row>
    <row r="18" spans="1:5" x14ac:dyDescent="0.2">
      <c r="A18" s="5" t="s">
        <v>17</v>
      </c>
      <c r="B18" s="6" t="str">
        <f t="shared" si="0"/>
        <v>0%</v>
      </c>
      <c r="C18" s="6">
        <f>COUNTA(Carpets!A:A)-1</f>
        <v>0</v>
      </c>
      <c r="D18" s="6">
        <f>COUNTA(Carpets!B:B)-1</f>
        <v>118</v>
      </c>
      <c r="E18" s="6">
        <f t="shared" si="1"/>
        <v>118</v>
      </c>
    </row>
    <row r="19" spans="1:5" x14ac:dyDescent="0.2">
      <c r="A19" s="5" t="s">
        <v>18</v>
      </c>
      <c r="B19" s="6" t="str">
        <f t="shared" si="0"/>
        <v>0%</v>
      </c>
      <c r="C19" s="6">
        <f>COUNTA(Tops!A:A)-1</f>
        <v>0</v>
      </c>
      <c r="D19" s="6">
        <f>COUNTA(Tops!B:B)-1</f>
        <v>451</v>
      </c>
      <c r="E19" s="6">
        <f t="shared" si="1"/>
        <v>451</v>
      </c>
    </row>
    <row r="20" spans="1:5" x14ac:dyDescent="0.2">
      <c r="A20" s="5" t="s">
        <v>19</v>
      </c>
      <c r="B20" s="6" t="str">
        <f t="shared" si="0"/>
        <v>0%</v>
      </c>
      <c r="C20" s="6">
        <f>COUNTA(Bottoms!A:A)-1</f>
        <v>0</v>
      </c>
      <c r="D20" s="6">
        <f>COUNTA(Bottoms!B:B)-1</f>
        <v>121</v>
      </c>
      <c r="E20" s="6">
        <f t="shared" si="1"/>
        <v>121</v>
      </c>
    </row>
    <row r="21" spans="1:5" x14ac:dyDescent="0.2">
      <c r="A21" s="5" t="s">
        <v>20</v>
      </c>
      <c r="B21" s="6" t="str">
        <f t="shared" si="0"/>
        <v>0%</v>
      </c>
      <c r="C21" s="6">
        <f>COUNTA(Dresses!A:A)-1</f>
        <v>0</v>
      </c>
      <c r="D21" s="6">
        <f>COUNTA(Dresses!B:B)-1</f>
        <v>97</v>
      </c>
      <c r="E21" s="6">
        <f t="shared" si="1"/>
        <v>97</v>
      </c>
    </row>
    <row r="22" spans="1:5" x14ac:dyDescent="0.2">
      <c r="A22" s="5" t="s">
        <v>21</v>
      </c>
      <c r="B22" s="6" t="str">
        <f t="shared" si="0"/>
        <v>0%</v>
      </c>
      <c r="C22" s="6">
        <f>COUNTA(Hats!A:A)-1</f>
        <v>0</v>
      </c>
      <c r="D22" s="6">
        <f>COUNTA(Hats!B:B)-1</f>
        <v>209</v>
      </c>
      <c r="E22" s="6">
        <f t="shared" si="1"/>
        <v>209</v>
      </c>
    </row>
    <row r="23" spans="1:5" x14ac:dyDescent="0.2">
      <c r="A23" s="5" t="s">
        <v>22</v>
      </c>
      <c r="B23" s="6" t="str">
        <f t="shared" si="0"/>
        <v>0%</v>
      </c>
      <c r="C23" s="6">
        <f>COUNTA(Accessories!A:A)-1</f>
        <v>0</v>
      </c>
      <c r="D23" s="6">
        <f>COUNTA(Accessories!B:B)-1</f>
        <v>58</v>
      </c>
      <c r="E23" s="6">
        <f t="shared" si="1"/>
        <v>58</v>
      </c>
    </row>
    <row r="24" spans="1:5" x14ac:dyDescent="0.2">
      <c r="A24" s="5" t="s">
        <v>23</v>
      </c>
      <c r="B24" s="6" t="str">
        <f t="shared" si="0"/>
        <v>0%</v>
      </c>
      <c r="C24" s="6">
        <f>COUNTA(Footwear!A:A)-1</f>
        <v>0</v>
      </c>
      <c r="D24" s="6">
        <f>COUNTA(Footwear!B:B)-1</f>
        <v>97</v>
      </c>
      <c r="E24" s="6">
        <f t="shared" si="1"/>
        <v>97</v>
      </c>
    </row>
    <row r="25" spans="1:5" x14ac:dyDescent="0.2">
      <c r="A25" s="5" t="s">
        <v>24</v>
      </c>
      <c r="B25" s="6" t="str">
        <f t="shared" si="0"/>
        <v>0%</v>
      </c>
      <c r="C25" s="6">
        <f>COUNTA(Umbrellas!A:A)-1</f>
        <v>0</v>
      </c>
      <c r="D25" s="6">
        <f>COUNTA(Umbrellas!B:B)-1</f>
        <v>36</v>
      </c>
      <c r="E25" s="6">
        <f t="shared" si="1"/>
        <v>36</v>
      </c>
    </row>
    <row r="26" spans="1:5" x14ac:dyDescent="0.2">
      <c r="A26" s="5" t="s">
        <v>25</v>
      </c>
      <c r="B26" s="6" t="str">
        <f t="shared" si="0"/>
        <v>0%</v>
      </c>
      <c r="C26" s="6">
        <f>COUNTA(Paper!A:A)-1</f>
        <v>0</v>
      </c>
      <c r="D26" s="6">
        <f>COUNTA(Paper!B:B)-1</f>
        <v>64</v>
      </c>
      <c r="E26" s="6">
        <f t="shared" si="1"/>
        <v>64</v>
      </c>
    </row>
    <row r="27" spans="1:5" x14ac:dyDescent="0.2">
      <c r="A27" s="5" t="s">
        <v>26</v>
      </c>
      <c r="B27" s="6" t="str">
        <f t="shared" si="0"/>
        <v>0%</v>
      </c>
      <c r="C27" s="6">
        <f>COUNTA(Songs!A:A)-1</f>
        <v>0</v>
      </c>
      <c r="D27" s="6">
        <f>COUNTA(Songs!B:B)-1</f>
        <v>91</v>
      </c>
      <c r="E27" s="6">
        <f t="shared" si="1"/>
        <v>91</v>
      </c>
    </row>
    <row r="28" spans="1:5" x14ac:dyDescent="0.2">
      <c r="A28" s="5" t="s">
        <v>27</v>
      </c>
      <c r="B28" s="6" t="str">
        <f t="shared" si="0"/>
        <v>0%</v>
      </c>
      <c r="C28" s="6">
        <f>COUNTA(Gyroids!A:A)-1</f>
        <v>0</v>
      </c>
      <c r="D28" s="6">
        <f>COUNTA(Gyroids!B:B)-1</f>
        <v>131</v>
      </c>
      <c r="E28" s="6">
        <f t="shared" si="1"/>
        <v>131</v>
      </c>
    </row>
    <row r="30" spans="1:5" x14ac:dyDescent="0.2">
      <c r="A30" s="4" t="s">
        <v>28</v>
      </c>
      <c r="B30" s="3" t="s">
        <v>11</v>
      </c>
      <c r="C30" s="3" t="s">
        <v>29</v>
      </c>
      <c r="D30" s="3" t="s">
        <v>13</v>
      </c>
      <c r="E30" s="3" t="s">
        <v>14</v>
      </c>
    </row>
    <row r="31" spans="1:5" x14ac:dyDescent="0.2">
      <c r="A31" s="5" t="s">
        <v>30</v>
      </c>
      <c r="B31" s="6" t="str">
        <f>ROUND((C31/D31)*100, 0)&amp;"%"</f>
        <v>0%</v>
      </c>
      <c r="C31" s="6">
        <f>COUNTA(Fossils!A:A)-1</f>
        <v>0</v>
      </c>
      <c r="D31" s="6">
        <f>COUNTA(Fossils!B:B)-1</f>
        <v>67</v>
      </c>
      <c r="E31" s="6">
        <f t="shared" ref="E31:E35" si="2">D31-C31</f>
        <v>67</v>
      </c>
    </row>
    <row r="32" spans="1:5" x14ac:dyDescent="0.2">
      <c r="A32" s="5" t="s">
        <v>31</v>
      </c>
      <c r="B32" s="6" t="str">
        <f t="shared" ref="B32:B35" si="3">ROUND((C32/D32)*100, 0)&amp;"%"</f>
        <v>0%</v>
      </c>
      <c r="C32" s="6">
        <f>COUNTA(Bugs!A:A)-1</f>
        <v>0</v>
      </c>
      <c r="D32" s="6">
        <f>COUNTA(Bugs!B:B)-1</f>
        <v>72</v>
      </c>
      <c r="E32" s="6">
        <f t="shared" si="2"/>
        <v>72</v>
      </c>
    </row>
    <row r="33" spans="1:7" x14ac:dyDescent="0.2">
      <c r="A33" s="5" t="s">
        <v>32</v>
      </c>
      <c r="B33" s="6" t="str">
        <f t="shared" si="3"/>
        <v>0%</v>
      </c>
      <c r="C33" s="6">
        <f>COUNTA(Fish!A:A)-1</f>
        <v>0</v>
      </c>
      <c r="D33" s="6">
        <f>COUNTA(Fish!B:B)-1</f>
        <v>72</v>
      </c>
      <c r="E33" s="6">
        <f t="shared" si="2"/>
        <v>72</v>
      </c>
    </row>
    <row r="34" spans="1:7" x14ac:dyDescent="0.2">
      <c r="A34" s="5" t="s">
        <v>33</v>
      </c>
      <c r="B34" s="6" t="str">
        <f t="shared" si="3"/>
        <v>0%</v>
      </c>
      <c r="C34" s="6">
        <f>COUNTA(Seafood!A:A)-1</f>
        <v>0</v>
      </c>
      <c r="D34" s="6">
        <f>COUNTA(Seafood!B:B)-1</f>
        <v>30</v>
      </c>
      <c r="E34" s="6">
        <f t="shared" si="2"/>
        <v>30</v>
      </c>
    </row>
    <row r="35" spans="1:7" x14ac:dyDescent="0.2">
      <c r="A35" s="5" t="s">
        <v>34</v>
      </c>
      <c r="B35" s="6" t="str">
        <f t="shared" si="3"/>
        <v>0%</v>
      </c>
      <c r="C35" s="6">
        <f>COUNTA(Paintings!A:A)-1</f>
        <v>0</v>
      </c>
      <c r="D35" s="6">
        <f>COUNTA(Paintings!B:B)-1</f>
        <v>26</v>
      </c>
      <c r="E35" s="6">
        <f t="shared" si="2"/>
        <v>26</v>
      </c>
    </row>
    <row r="37" spans="1:7" x14ac:dyDescent="0.2">
      <c r="A37" s="4" t="s">
        <v>35</v>
      </c>
      <c r="B37" s="3" t="s">
        <v>11</v>
      </c>
      <c r="C37" s="3" t="s">
        <v>36</v>
      </c>
      <c r="D37" s="3" t="s">
        <v>13</v>
      </c>
      <c r="E37" s="3" t="s">
        <v>14</v>
      </c>
    </row>
    <row r="38" spans="1:7" x14ac:dyDescent="0.2">
      <c r="A38" s="5" t="s">
        <v>35</v>
      </c>
      <c r="B38" s="6" t="str">
        <f t="shared" ref="B38" si="4">ROUND((C38/D38)*100, 0)&amp;"%"</f>
        <v>0%</v>
      </c>
      <c r="C38" s="6">
        <f>COUNTA(Emotions!A:A)-1</f>
        <v>0</v>
      </c>
      <c r="D38" s="6">
        <f>COUNTA(Emotions!B:B)-1</f>
        <v>40</v>
      </c>
      <c r="E38" s="6">
        <f t="shared" ref="E38" si="5">D38-C38</f>
        <v>40</v>
      </c>
    </row>
    <row r="40" spans="1:7" x14ac:dyDescent="0.2">
      <c r="A40" s="12" t="s">
        <v>1</v>
      </c>
      <c r="B40" s="12"/>
      <c r="C40" s="12"/>
      <c r="D40" s="12"/>
      <c r="E40" s="12"/>
      <c r="F40" s="12"/>
      <c r="G40" s="12"/>
    </row>
    <row r="41" spans="1:7" x14ac:dyDescent="0.2">
      <c r="A41" s="5"/>
      <c r="B41" s="11" t="s">
        <v>31</v>
      </c>
      <c r="C41" s="11"/>
      <c r="D41" s="11" t="s">
        <v>32</v>
      </c>
      <c r="E41" s="11"/>
      <c r="F41" s="11" t="s">
        <v>33</v>
      </c>
      <c r="G41" s="11"/>
    </row>
    <row r="42" spans="1:7" x14ac:dyDescent="0.2">
      <c r="A42" s="5"/>
      <c r="B42" s="5" t="s">
        <v>37</v>
      </c>
      <c r="C42" s="5" t="s">
        <v>38</v>
      </c>
      <c r="D42" s="5" t="s">
        <v>37</v>
      </c>
      <c r="E42" s="5" t="s">
        <v>38</v>
      </c>
      <c r="F42" s="5" t="s">
        <v>37</v>
      </c>
      <c r="G42" s="5" t="s">
        <v>38</v>
      </c>
    </row>
    <row r="43" spans="1:7" x14ac:dyDescent="0.2">
      <c r="A43" s="5" t="s">
        <v>39</v>
      </c>
      <c r="B43" s="6">
        <f>COUNTIFS(Bugs!E:E,"x",Bugs!F:F,"",Bugs!$A:$A,"")</f>
        <v>0</v>
      </c>
      <c r="C43" s="6">
        <f>COUNTIFS(Bugs!P:P,"",Bugs!E:E,"x",Bugs!$A:$A,"")</f>
        <v>0</v>
      </c>
      <c r="D43" s="6">
        <f>COUNTIFS(Fish!F:F,"x",Fish!G:G,"",Fish!$A:$A,"")</f>
        <v>0</v>
      </c>
      <c r="E43" s="6">
        <f>COUNTIFS(Fish!Q:Q,"",Fish!F:F,"x",Fish!$A:$A,"")</f>
        <v>1</v>
      </c>
      <c r="F43" s="6">
        <f>COUNTIFS(Seafood!E:E,"x",Seafood!F:F,"",Seafood!$A:$A,"")</f>
        <v>1</v>
      </c>
      <c r="G43" s="6">
        <f>COUNTIFS(Seafood!P:P,"",Seafood!E:E,"x",Seafood!$A:$A,"")</f>
        <v>0</v>
      </c>
    </row>
    <row r="44" spans="1:7" x14ac:dyDescent="0.2">
      <c r="A44" s="5" t="s">
        <v>40</v>
      </c>
      <c r="B44" s="6">
        <f>COUNTIFS(Bugs!F:F,"x",Bugs!G:G,"",Bugs!$A:$A,"")</f>
        <v>3</v>
      </c>
      <c r="C44" s="6">
        <f>COUNTIFS(Bugs!E:E,"",Bugs!F:F,"x",Bugs!$A:$A,"")</f>
        <v>0</v>
      </c>
      <c r="D44" s="6">
        <f>COUNTIFS(Fish!G:G,"x",Fish!H:H,"",Fish!$A:$A,"")</f>
        <v>5</v>
      </c>
      <c r="E44" s="6">
        <f>COUNTIFS(Fish!F:F,"",Fish!G:G,"x",Fish!$A:$A,"")</f>
        <v>0</v>
      </c>
      <c r="F44" s="6">
        <f>COUNTIFS(Seafood!F:F,"x",Seafood!G:G,"",Seafood!$A:$A,"")</f>
        <v>2</v>
      </c>
      <c r="G44" s="6">
        <f>COUNTIFS(Seafood!E:E,"",Seafood!F:F,"x",Seafood!$A:$A,"")</f>
        <v>0</v>
      </c>
    </row>
    <row r="45" spans="1:7" x14ac:dyDescent="0.2">
      <c r="A45" s="5" t="s">
        <v>41</v>
      </c>
      <c r="B45" s="6">
        <f>COUNTIFS(Bugs!G:G,"x",Bugs!H:H,"",Bugs!$A:$A,"")</f>
        <v>0</v>
      </c>
      <c r="C45" s="6">
        <f>COUNTIFS(Bugs!F:F,"",Bugs!G:G,"x",Bugs!$A:$A,"")</f>
        <v>9</v>
      </c>
      <c r="D45" s="6">
        <f>COUNTIFS(Fish!H:H,"x",Fish!I:I,"",Fish!$A:$A,"")</f>
        <v>3</v>
      </c>
      <c r="E45" s="6">
        <f>COUNTIFS(Fish!G:G,"",Fish!H:H,"x",Fish!$A:$A,"")</f>
        <v>7</v>
      </c>
      <c r="F45" s="6">
        <f>COUNTIFS(Seafood!G:G,"x",Seafood!H:H,"",Seafood!$A:$A,"")</f>
        <v>1</v>
      </c>
      <c r="G45" s="6">
        <f>COUNTIFS(Seafood!F:F,"",Seafood!G:G,"x",Seafood!$A:$A,"")</f>
        <v>2</v>
      </c>
    </row>
    <row r="46" spans="1:7" x14ac:dyDescent="0.2">
      <c r="A46" s="5" t="s">
        <v>42</v>
      </c>
      <c r="B46" s="6">
        <f>COUNTIFS(Bugs!H:H,"x",Bugs!I:I,"",Bugs!$A:$A,"")</f>
        <v>0</v>
      </c>
      <c r="C46" s="6">
        <f>COUNTIFS(Bugs!G:G,"",Bugs!H:H,"x",Bugs!$A:$A,"")</f>
        <v>4</v>
      </c>
      <c r="D46" s="6">
        <f>COUNTIFS(Fish!I:I,"x",Fish!J:J,"",Fish!$A:$A,"")</f>
        <v>1</v>
      </c>
      <c r="E46" s="6">
        <f>COUNTIFS(Fish!H:H,"",Fish!I:I,"x",Fish!$A:$A,"")</f>
        <v>9</v>
      </c>
      <c r="F46" s="6">
        <f>COUNTIFS(Seafood!H:H,"x",Seafood!I:I,"",Seafood!$A:$A,"")</f>
        <v>5</v>
      </c>
      <c r="G46" s="6">
        <f>COUNTIFS(Seafood!G:G,"",Seafood!H:H,"x",Seafood!$A:$A,"")</f>
        <v>0</v>
      </c>
    </row>
    <row r="47" spans="1:7" x14ac:dyDescent="0.2">
      <c r="A47" s="5" t="s">
        <v>43</v>
      </c>
      <c r="B47" s="6">
        <f>COUNTIFS(Bugs!I:I,"x",Bugs!J:J,"",Bugs!$A:$A,"")</f>
        <v>1</v>
      </c>
      <c r="C47" s="6">
        <f>COUNTIFS(Bugs!H:H,"",Bugs!I:I,"x",Bugs!$A:$A,"")</f>
        <v>5</v>
      </c>
      <c r="D47" s="6">
        <f>COUNTIFS(Fish!J:J,"x",Fish!K:K,"",Fish!$A:$A,"")</f>
        <v>2</v>
      </c>
      <c r="E47" s="6">
        <f>COUNTIFS(Fish!I:I,"",Fish!J:J,"x",Fish!$A:$A,"")</f>
        <v>4</v>
      </c>
      <c r="F47" s="6">
        <f>COUNTIFS(Seafood!I:I,"x",Seafood!J:J,"",Seafood!$A:$A,"")</f>
        <v>1</v>
      </c>
      <c r="G47" s="6">
        <f>COUNTIFS(Seafood!H:H,"",Seafood!I:I,"x",Seafood!$A:$A,"")</f>
        <v>1</v>
      </c>
    </row>
    <row r="48" spans="1:7" x14ac:dyDescent="0.2">
      <c r="A48" s="5" t="s">
        <v>44</v>
      </c>
      <c r="B48" s="6">
        <f>COUNTIFS(Bugs!J:J,"x",Bugs!K:K,"",Bugs!$A:$A,"")</f>
        <v>5</v>
      </c>
      <c r="C48" s="6">
        <f>COUNTIFS(Bugs!I:I,"",Bugs!J:J,"x",Bugs!$A:$A,"")</f>
        <v>19</v>
      </c>
      <c r="D48" s="6">
        <f>COUNTIFS(Fish!K:K,"x",Fish!L:L,"",Fish!$A:$A,"")</f>
        <v>3</v>
      </c>
      <c r="E48" s="6">
        <f>COUNTIFS(Fish!J:J,"",Fish!K:K,"x",Fish!$A:$A,"")</f>
        <v>15</v>
      </c>
      <c r="F48" s="6">
        <f>COUNTIFS(Seafood!J:J,"x",Seafood!K:K,"",Seafood!$A:$A,"")</f>
        <v>0</v>
      </c>
      <c r="G48" s="6">
        <f>COUNTIFS(Seafood!I:I,"",Seafood!J:J,"x",Seafood!$A:$A,"")</f>
        <v>3</v>
      </c>
    </row>
    <row r="49" spans="1:7" x14ac:dyDescent="0.2">
      <c r="A49" s="5" t="s">
        <v>45</v>
      </c>
      <c r="B49" s="6">
        <f>COUNTIFS(Bugs!K:K,"x",Bugs!L:L,"",Bugs!$A:$A,"")</f>
        <v>1</v>
      </c>
      <c r="C49" s="6">
        <f>COUNTIFS(Bugs!J:J,"",Bugs!K:K,"x",Bugs!$A:$A,"")</f>
        <v>18</v>
      </c>
      <c r="D49" s="6">
        <f>COUNTIFS(Fish!L:L,"x",Fish!M:M,"",Fish!$A:$A,"")</f>
        <v>1</v>
      </c>
      <c r="E49" s="6">
        <f>COUNTIFS(Fish!K:K,"",Fish!L:L,"x",Fish!$A:$A,"")</f>
        <v>2</v>
      </c>
      <c r="F49" s="6">
        <f>COUNTIFS(Seafood!K:K,"x",Seafood!L:L,"",Seafood!$A:$A,"")</f>
        <v>2</v>
      </c>
      <c r="G49" s="6">
        <f>COUNTIFS(Seafood!J:J,"",Seafood!K:K,"x",Seafood!$A:$A,"")</f>
        <v>1</v>
      </c>
    </row>
    <row r="50" spans="1:7" x14ac:dyDescent="0.2">
      <c r="A50" s="5" t="s">
        <v>46</v>
      </c>
      <c r="B50" s="6">
        <f>COUNTIFS(Bugs!L:L,"x",Bugs!M:M,"",Bugs!$A:$A,"")</f>
        <v>21</v>
      </c>
      <c r="C50" s="6">
        <f>COUNTIFS(Bugs!K:K,"",Bugs!L:L,"x",Bugs!$A:$A,"")</f>
        <v>4</v>
      </c>
      <c r="D50" s="6">
        <f>COUNTIFS(Fish!M:M,"x",Fish!N:N,"",Fish!$A:$A,"")</f>
        <v>6</v>
      </c>
      <c r="E50" s="6">
        <f>COUNTIFS(Fish!L:L,"",Fish!M:M,"x",Fish!$A:$A,"")</f>
        <v>1</v>
      </c>
      <c r="F50" s="6">
        <f>COUNTIFS(Seafood!L:L,"x",Seafood!M:M,"",Seafood!$A:$A,"")</f>
        <v>0</v>
      </c>
      <c r="G50" s="6">
        <f>COUNTIFS(Seafood!K:K,"",Seafood!L:L,"x",Seafood!$A:$A,"")</f>
        <v>1</v>
      </c>
    </row>
    <row r="51" spans="1:7" x14ac:dyDescent="0.2">
      <c r="A51" s="5" t="s">
        <v>47</v>
      </c>
      <c r="B51" s="6">
        <f>COUNTIFS(Bugs!M:M,"x",Bugs!N:N,"",Bugs!$A:$A,"")</f>
        <v>22</v>
      </c>
      <c r="C51" s="6">
        <f>COUNTIFS(Bugs!L:L,"",Bugs!M:M,"x",Bugs!$A:$A,"")</f>
        <v>7</v>
      </c>
      <c r="D51" s="6">
        <f>COUNTIFS(Fish!N:N,"x",Fish!O:O,"",Fish!$A:$A,"")</f>
        <v>21</v>
      </c>
      <c r="E51" s="6">
        <f>COUNTIFS(Fish!M:M,"",Fish!N:N,"x",Fish!$A:$A,"")</f>
        <v>7</v>
      </c>
      <c r="F51" s="6">
        <f>COUNTIFS(Seafood!M:M,"x",Seafood!N:N,"",Seafood!$A:$A,"")</f>
        <v>5</v>
      </c>
      <c r="G51" s="6">
        <f>COUNTIFS(Seafood!L:L,"",Seafood!M:M,"x",Seafood!$A:$A,"")</f>
        <v>5</v>
      </c>
    </row>
    <row r="52" spans="1:7" x14ac:dyDescent="0.2">
      <c r="A52" s="5" t="s">
        <v>48</v>
      </c>
      <c r="B52" s="6">
        <f>COUNTIFS(Bugs!N:N,"x",Bugs!O:O,"",Bugs!$A:$A,"")</f>
        <v>8</v>
      </c>
      <c r="C52" s="6">
        <f>COUNTIFS(Bugs!M:M,"",Bugs!N:N,"x",Bugs!$A:$A,"")</f>
        <v>2</v>
      </c>
      <c r="D52" s="6">
        <f>COUNTIFS(Fish!O:O,"x",Fish!P:P,"",Fish!$A:$A,"")</f>
        <v>3</v>
      </c>
      <c r="E52" s="6">
        <f>COUNTIFS(Fish!N:N,"",Fish!O:O,"x",Fish!$A:$A,"")</f>
        <v>1</v>
      </c>
      <c r="F52" s="6">
        <f>COUNTIFS(Seafood!N:N,"x",Seafood!O:O,"",Seafood!$A:$A,"")</f>
        <v>0</v>
      </c>
      <c r="G52" s="6">
        <f>COUNTIFS(Seafood!M:M,"",Seafood!N:N,"x",Seafood!$A:$A,"")</f>
        <v>0</v>
      </c>
    </row>
    <row r="53" spans="1:7" x14ac:dyDescent="0.2">
      <c r="A53" s="5" t="s">
        <v>49</v>
      </c>
      <c r="B53" s="6">
        <f>COUNTIFS(Bugs!O:O,"x",Bugs!P:P,"",Bugs!$A:$A,"")</f>
        <v>9</v>
      </c>
      <c r="C53" s="6">
        <f>COUNTIFS(Bugs!N:N,"",Bugs!O:O,"x",Bugs!$A:$A,"")</f>
        <v>1</v>
      </c>
      <c r="D53" s="6">
        <f>COUNTIFS(Fish!P:P,"x",Fish!Q:Q,"",Fish!$A:$A,"")</f>
        <v>10</v>
      </c>
      <c r="E53" s="6">
        <f>COUNTIFS(Fish!O:O,"",Fish!P:P,"x",Fish!$A:$A,"")</f>
        <v>3</v>
      </c>
      <c r="F53" s="6">
        <f>COUNTIFS(Seafood!O:O,"x",Seafood!P:P,"",Seafood!$A:$A,"")</f>
        <v>0</v>
      </c>
      <c r="G53" s="6">
        <f>COUNTIFS(Seafood!N:N,"",Seafood!O:O,"x",Seafood!$A:$A,"")</f>
        <v>5</v>
      </c>
    </row>
    <row r="54" spans="1:7" x14ac:dyDescent="0.2">
      <c r="A54" s="5" t="s">
        <v>50</v>
      </c>
      <c r="B54" s="6">
        <f>COUNTIFS(Bugs!P:P,"x",Bugs!E:E,"",Bugs!$A:$A,"")</f>
        <v>0</v>
      </c>
      <c r="C54" s="6">
        <f>COUNTIFS(Bugs!O:O,"",Bugs!P:P,"x",Bugs!$A:$A,"")</f>
        <v>1</v>
      </c>
      <c r="D54" s="6">
        <f>COUNTIFS(Fish!Q:Q,"x",Fish!F:F,"",Fish!$A:$A,"")</f>
        <v>1</v>
      </c>
      <c r="E54" s="6">
        <f>COUNTIFS(Fish!P:P,"",Fish!Q:Q,"x",Fish!$A:$A,"")</f>
        <v>6</v>
      </c>
      <c r="F54" s="6">
        <f>COUNTIFS(Seafood!P:P,"x",Seafood!E:E,"",Seafood!$A:$A,"")</f>
        <v>1</v>
      </c>
      <c r="G54" s="6">
        <f>COUNTIFS(Seafood!O:O,"",Seafood!P:P,"x",Seafood!$A:$A,"")</f>
        <v>0</v>
      </c>
    </row>
  </sheetData>
  <mergeCells count="17">
    <mergeCell ref="A40:G40"/>
    <mergeCell ref="B41:C41"/>
    <mergeCell ref="D41:E41"/>
    <mergeCell ref="F41:G41"/>
    <mergeCell ref="A1:D1"/>
    <mergeCell ref="D12:D13"/>
    <mergeCell ref="D10:D11"/>
    <mergeCell ref="D8:D9"/>
    <mergeCell ref="D6:D7"/>
    <mergeCell ref="D4:D5"/>
    <mergeCell ref="D2:D3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baseColWidth="10" defaultColWidth="8.83203125" defaultRowHeight="15" x14ac:dyDescent="0.2"/>
  <cols>
    <col min="1" max="3" width="11.6640625" customWidth="1"/>
    <col min="7" max="7" width="9.5" bestFit="1" customWidth="1"/>
    <col min="8" max="8" width="14.1640625" bestFit="1" customWidth="1"/>
    <col min="9" max="12" width="16.33203125" bestFit="1" customWidth="1"/>
    <col min="16" max="16" width="16.33203125" bestFit="1" customWidth="1"/>
  </cols>
  <sheetData>
    <row r="1" spans="1:18" x14ac:dyDescent="0.2">
      <c r="A1" s="1" t="s">
        <v>51</v>
      </c>
      <c r="B1" s="1" t="s">
        <v>52</v>
      </c>
      <c r="C1" s="1" t="s">
        <v>53</v>
      </c>
    </row>
    <row r="2" spans="1:18" x14ac:dyDescent="0.2">
      <c r="Q2">
        <f>COUNTIFS($B:$B,6,$C:$C,1)</f>
        <v>0</v>
      </c>
      <c r="R2">
        <f>COUNTIFS($B:$B,6,$C:$C,2)</f>
        <v>0</v>
      </c>
    </row>
    <row r="3" spans="1:18" x14ac:dyDescent="0.2">
      <c r="Q3" t="e">
        <f>SUMIFS(Turnips!$A:$A,Turnips!$B:$B,6,Turnips!$C:$C,1)/COUNTIFS(Turnips!$B:$B,6,Turnips!$C:$C,1)</f>
        <v>#DIV/0!</v>
      </c>
      <c r="R3" t="e">
        <f>SUMIFS(Turnips!$A:$A,Turnips!$B:$B,6,Turnips!$C:$C,2)/COUNTIFS(Turnips!$B:$B,6,Turnips!$C:$C,2)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72"/>
  <sheetViews>
    <sheetView topLeftCell="A91"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  <col min="5" max="5" width="15.332031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56</v>
      </c>
    </row>
    <row r="3" spans="1:2" x14ac:dyDescent="0.2">
      <c r="B3" t="s">
        <v>57</v>
      </c>
    </row>
    <row r="4" spans="1:2" x14ac:dyDescent="0.2">
      <c r="B4" t="s">
        <v>58</v>
      </c>
    </row>
    <row r="5" spans="1:2" x14ac:dyDescent="0.2">
      <c r="B5" t="s">
        <v>59</v>
      </c>
    </row>
    <row r="6" spans="1:2" x14ac:dyDescent="0.2">
      <c r="B6" t="s">
        <v>60</v>
      </c>
    </row>
    <row r="7" spans="1:2" x14ac:dyDescent="0.2">
      <c r="B7" t="s">
        <v>61</v>
      </c>
    </row>
    <row r="8" spans="1:2" x14ac:dyDescent="0.2">
      <c r="B8" t="s">
        <v>62</v>
      </c>
    </row>
    <row r="9" spans="1:2" x14ac:dyDescent="0.2">
      <c r="B9" t="s">
        <v>63</v>
      </c>
    </row>
    <row r="10" spans="1:2" x14ac:dyDescent="0.2">
      <c r="B10" t="s">
        <v>64</v>
      </c>
    </row>
    <row r="11" spans="1:2" x14ac:dyDescent="0.2">
      <c r="B11" t="s">
        <v>65</v>
      </c>
    </row>
    <row r="12" spans="1:2" x14ac:dyDescent="0.2">
      <c r="B12" t="s">
        <v>66</v>
      </c>
    </row>
    <row r="13" spans="1:2" x14ac:dyDescent="0.2">
      <c r="B13" t="s">
        <v>67</v>
      </c>
    </row>
    <row r="14" spans="1:2" x14ac:dyDescent="0.2">
      <c r="B14" t="s">
        <v>68</v>
      </c>
    </row>
    <row r="15" spans="1:2" x14ac:dyDescent="0.2">
      <c r="B15" t="s">
        <v>69</v>
      </c>
    </row>
    <row r="16" spans="1:2" x14ac:dyDescent="0.2">
      <c r="B16" t="s">
        <v>70</v>
      </c>
    </row>
    <row r="17" spans="2:2" x14ac:dyDescent="0.2">
      <c r="B17" t="s">
        <v>71</v>
      </c>
    </row>
    <row r="18" spans="2:2" x14ac:dyDescent="0.2">
      <c r="B18" t="s">
        <v>72</v>
      </c>
    </row>
    <row r="19" spans="2:2" x14ac:dyDescent="0.2">
      <c r="B19" t="s">
        <v>73</v>
      </c>
    </row>
    <row r="20" spans="2:2" x14ac:dyDescent="0.2">
      <c r="B20" t="s">
        <v>74</v>
      </c>
    </row>
    <row r="21" spans="2:2" x14ac:dyDescent="0.2">
      <c r="B21" t="s">
        <v>75</v>
      </c>
    </row>
    <row r="22" spans="2:2" x14ac:dyDescent="0.2">
      <c r="B22" t="s">
        <v>76</v>
      </c>
    </row>
    <row r="23" spans="2:2" x14ac:dyDescent="0.2">
      <c r="B23" t="s">
        <v>77</v>
      </c>
    </row>
    <row r="24" spans="2:2" x14ac:dyDescent="0.2">
      <c r="B24" t="s">
        <v>78</v>
      </c>
    </row>
    <row r="25" spans="2:2" x14ac:dyDescent="0.2">
      <c r="B25" t="s">
        <v>79</v>
      </c>
    </row>
    <row r="26" spans="2:2" x14ac:dyDescent="0.2">
      <c r="B26" t="s">
        <v>80</v>
      </c>
    </row>
    <row r="27" spans="2:2" x14ac:dyDescent="0.2">
      <c r="B27" t="s">
        <v>81</v>
      </c>
    </row>
    <row r="28" spans="2:2" x14ac:dyDescent="0.2">
      <c r="B28" t="s">
        <v>82</v>
      </c>
    </row>
    <row r="29" spans="2:2" x14ac:dyDescent="0.2">
      <c r="B29" t="s">
        <v>83</v>
      </c>
    </row>
    <row r="30" spans="2:2" x14ac:dyDescent="0.2">
      <c r="B30" t="s">
        <v>84</v>
      </c>
    </row>
    <row r="31" spans="2:2" x14ac:dyDescent="0.2">
      <c r="B31" t="s">
        <v>85</v>
      </c>
    </row>
    <row r="32" spans="2:2" x14ac:dyDescent="0.2">
      <c r="B32" t="s">
        <v>86</v>
      </c>
    </row>
    <row r="33" spans="2:2" x14ac:dyDescent="0.2">
      <c r="B33" t="s">
        <v>87</v>
      </c>
    </row>
    <row r="34" spans="2:2" x14ac:dyDescent="0.2">
      <c r="B34" t="s">
        <v>88</v>
      </c>
    </row>
    <row r="35" spans="2:2" x14ac:dyDescent="0.2">
      <c r="B35" t="s">
        <v>89</v>
      </c>
    </row>
    <row r="36" spans="2:2" x14ac:dyDescent="0.2">
      <c r="B36" t="s">
        <v>90</v>
      </c>
    </row>
    <row r="37" spans="2:2" x14ac:dyDescent="0.2">
      <c r="B37" t="s">
        <v>91</v>
      </c>
    </row>
    <row r="38" spans="2:2" x14ac:dyDescent="0.2">
      <c r="B38" t="s">
        <v>92</v>
      </c>
    </row>
    <row r="39" spans="2:2" x14ac:dyDescent="0.2">
      <c r="B39" t="s">
        <v>93</v>
      </c>
    </row>
    <row r="40" spans="2:2" x14ac:dyDescent="0.2">
      <c r="B40" t="s">
        <v>94</v>
      </c>
    </row>
    <row r="41" spans="2:2" x14ac:dyDescent="0.2">
      <c r="B41" t="s">
        <v>95</v>
      </c>
    </row>
    <row r="42" spans="2:2" x14ac:dyDescent="0.2">
      <c r="B42" t="s">
        <v>96</v>
      </c>
    </row>
    <row r="43" spans="2:2" x14ac:dyDescent="0.2">
      <c r="B43" t="s">
        <v>97</v>
      </c>
    </row>
    <row r="44" spans="2:2" x14ac:dyDescent="0.2">
      <c r="B44" t="s">
        <v>98</v>
      </c>
    </row>
    <row r="45" spans="2:2" x14ac:dyDescent="0.2">
      <c r="B45" t="s">
        <v>99</v>
      </c>
    </row>
    <row r="46" spans="2:2" x14ac:dyDescent="0.2">
      <c r="B46" t="s">
        <v>100</v>
      </c>
    </row>
    <row r="47" spans="2:2" x14ac:dyDescent="0.2">
      <c r="B47" t="s">
        <v>101</v>
      </c>
    </row>
    <row r="48" spans="2:2" x14ac:dyDescent="0.2">
      <c r="B48" t="s">
        <v>102</v>
      </c>
    </row>
    <row r="49" spans="2:2" x14ac:dyDescent="0.2">
      <c r="B49" t="s">
        <v>103</v>
      </c>
    </row>
    <row r="50" spans="2:2" x14ac:dyDescent="0.2">
      <c r="B50" t="s">
        <v>104</v>
      </c>
    </row>
    <row r="51" spans="2:2" x14ac:dyDescent="0.2">
      <c r="B51" t="s">
        <v>105</v>
      </c>
    </row>
    <row r="52" spans="2:2" x14ac:dyDescent="0.2">
      <c r="B52" t="s">
        <v>106</v>
      </c>
    </row>
    <row r="53" spans="2:2" x14ac:dyDescent="0.2">
      <c r="B53" t="s">
        <v>107</v>
      </c>
    </row>
    <row r="54" spans="2:2" x14ac:dyDescent="0.2">
      <c r="B54" t="s">
        <v>108</v>
      </c>
    </row>
    <row r="55" spans="2:2" x14ac:dyDescent="0.2">
      <c r="B55" t="s">
        <v>109</v>
      </c>
    </row>
    <row r="56" spans="2:2" x14ac:dyDescent="0.2">
      <c r="B56" t="s">
        <v>110</v>
      </c>
    </row>
    <row r="57" spans="2:2" x14ac:dyDescent="0.2">
      <c r="B57" t="s">
        <v>111</v>
      </c>
    </row>
    <row r="58" spans="2:2" x14ac:dyDescent="0.2">
      <c r="B58" t="s">
        <v>112</v>
      </c>
    </row>
    <row r="59" spans="2:2" x14ac:dyDescent="0.2">
      <c r="B59" t="s">
        <v>113</v>
      </c>
    </row>
    <row r="60" spans="2:2" x14ac:dyDescent="0.2">
      <c r="B60" t="s">
        <v>114</v>
      </c>
    </row>
    <row r="61" spans="2:2" x14ac:dyDescent="0.2">
      <c r="B61" t="s">
        <v>115</v>
      </c>
    </row>
    <row r="62" spans="2:2" x14ac:dyDescent="0.2">
      <c r="B62" t="s">
        <v>116</v>
      </c>
    </row>
    <row r="63" spans="2:2" x14ac:dyDescent="0.2">
      <c r="B63" t="s">
        <v>117</v>
      </c>
    </row>
    <row r="64" spans="2:2" x14ac:dyDescent="0.2">
      <c r="B64" t="s">
        <v>118</v>
      </c>
    </row>
    <row r="65" spans="2:2" x14ac:dyDescent="0.2">
      <c r="B65" t="s">
        <v>119</v>
      </c>
    </row>
    <row r="66" spans="2:2" x14ac:dyDescent="0.2">
      <c r="B66" t="s">
        <v>120</v>
      </c>
    </row>
    <row r="67" spans="2:2" x14ac:dyDescent="0.2">
      <c r="B67" t="s">
        <v>121</v>
      </c>
    </row>
    <row r="68" spans="2:2" x14ac:dyDescent="0.2">
      <c r="B68" t="s">
        <v>122</v>
      </c>
    </row>
    <row r="69" spans="2:2" x14ac:dyDescent="0.2">
      <c r="B69" t="s">
        <v>123</v>
      </c>
    </row>
    <row r="70" spans="2:2" x14ac:dyDescent="0.2">
      <c r="B70" t="s">
        <v>124</v>
      </c>
    </row>
    <row r="71" spans="2:2" x14ac:dyDescent="0.2">
      <c r="B71" t="s">
        <v>125</v>
      </c>
    </row>
    <row r="72" spans="2:2" x14ac:dyDescent="0.2">
      <c r="B72" t="s">
        <v>126</v>
      </c>
    </row>
    <row r="73" spans="2:2" x14ac:dyDescent="0.2">
      <c r="B73" t="s">
        <v>127</v>
      </c>
    </row>
    <row r="74" spans="2:2" x14ac:dyDescent="0.2">
      <c r="B74" t="s">
        <v>128</v>
      </c>
    </row>
    <row r="75" spans="2:2" x14ac:dyDescent="0.2">
      <c r="B75" t="s">
        <v>129</v>
      </c>
    </row>
    <row r="76" spans="2:2" x14ac:dyDescent="0.2">
      <c r="B76" t="s">
        <v>130</v>
      </c>
    </row>
    <row r="77" spans="2:2" x14ac:dyDescent="0.2">
      <c r="B77" t="s">
        <v>131</v>
      </c>
    </row>
    <row r="78" spans="2:2" x14ac:dyDescent="0.2">
      <c r="B78" t="s">
        <v>132</v>
      </c>
    </row>
    <row r="79" spans="2:2" x14ac:dyDescent="0.2">
      <c r="B79" t="s">
        <v>133</v>
      </c>
    </row>
    <row r="80" spans="2:2" x14ac:dyDescent="0.2">
      <c r="B80" t="s">
        <v>134</v>
      </c>
    </row>
    <row r="81" spans="2:2" x14ac:dyDescent="0.2">
      <c r="B81" t="s">
        <v>135</v>
      </c>
    </row>
    <row r="82" spans="2:2" x14ac:dyDescent="0.2">
      <c r="B82" t="s">
        <v>136</v>
      </c>
    </row>
    <row r="83" spans="2:2" x14ac:dyDescent="0.2">
      <c r="B83" t="s">
        <v>137</v>
      </c>
    </row>
    <row r="84" spans="2:2" x14ac:dyDescent="0.2">
      <c r="B84" t="s">
        <v>138</v>
      </c>
    </row>
    <row r="85" spans="2:2" x14ac:dyDescent="0.2">
      <c r="B85" t="s">
        <v>139</v>
      </c>
    </row>
    <row r="86" spans="2:2" x14ac:dyDescent="0.2">
      <c r="B86" t="s">
        <v>140</v>
      </c>
    </row>
    <row r="87" spans="2:2" x14ac:dyDescent="0.2">
      <c r="B87" t="s">
        <v>141</v>
      </c>
    </row>
    <row r="88" spans="2:2" x14ac:dyDescent="0.2">
      <c r="B88" t="s">
        <v>142</v>
      </c>
    </row>
    <row r="89" spans="2:2" x14ac:dyDescent="0.2">
      <c r="B89" t="s">
        <v>143</v>
      </c>
    </row>
    <row r="90" spans="2:2" x14ac:dyDescent="0.2">
      <c r="B90" t="s">
        <v>144</v>
      </c>
    </row>
    <row r="91" spans="2:2" x14ac:dyDescent="0.2">
      <c r="B91" t="s">
        <v>145</v>
      </c>
    </row>
    <row r="92" spans="2:2" x14ac:dyDescent="0.2">
      <c r="B92" t="s">
        <v>146</v>
      </c>
    </row>
    <row r="93" spans="2:2" x14ac:dyDescent="0.2">
      <c r="B93" t="s">
        <v>147</v>
      </c>
    </row>
    <row r="94" spans="2:2" x14ac:dyDescent="0.2">
      <c r="B94" t="s">
        <v>148</v>
      </c>
    </row>
    <row r="95" spans="2:2" x14ac:dyDescent="0.2">
      <c r="B95" t="s">
        <v>149</v>
      </c>
    </row>
    <row r="96" spans="2:2" x14ac:dyDescent="0.2">
      <c r="B96" t="s">
        <v>150</v>
      </c>
    </row>
    <row r="97" spans="2:2" x14ac:dyDescent="0.2">
      <c r="B97" t="s">
        <v>151</v>
      </c>
    </row>
    <row r="98" spans="2:2" x14ac:dyDescent="0.2">
      <c r="B98" t="s">
        <v>152</v>
      </c>
    </row>
    <row r="99" spans="2:2" x14ac:dyDescent="0.2">
      <c r="B99" t="s">
        <v>153</v>
      </c>
    </row>
    <row r="100" spans="2:2" x14ac:dyDescent="0.2">
      <c r="B100" t="s">
        <v>154</v>
      </c>
    </row>
    <row r="101" spans="2:2" x14ac:dyDescent="0.2">
      <c r="B101" t="s">
        <v>155</v>
      </c>
    </row>
    <row r="102" spans="2:2" x14ac:dyDescent="0.2">
      <c r="B102" t="s">
        <v>156</v>
      </c>
    </row>
    <row r="103" spans="2:2" x14ac:dyDescent="0.2">
      <c r="B103" t="s">
        <v>157</v>
      </c>
    </row>
    <row r="104" spans="2:2" x14ac:dyDescent="0.2">
      <c r="B104" t="s">
        <v>158</v>
      </c>
    </row>
    <row r="105" spans="2:2" x14ac:dyDescent="0.2">
      <c r="B105" t="s">
        <v>159</v>
      </c>
    </row>
    <row r="106" spans="2:2" x14ac:dyDescent="0.2">
      <c r="B106" t="s">
        <v>160</v>
      </c>
    </row>
    <row r="107" spans="2:2" x14ac:dyDescent="0.2">
      <c r="B107" t="s">
        <v>161</v>
      </c>
    </row>
    <row r="108" spans="2:2" x14ac:dyDescent="0.2">
      <c r="B108" t="s">
        <v>162</v>
      </c>
    </row>
    <row r="109" spans="2:2" x14ac:dyDescent="0.2">
      <c r="B109" t="s">
        <v>163</v>
      </c>
    </row>
    <row r="110" spans="2:2" x14ac:dyDescent="0.2">
      <c r="B110" t="s">
        <v>164</v>
      </c>
    </row>
    <row r="111" spans="2:2" x14ac:dyDescent="0.2">
      <c r="B111" t="s">
        <v>165</v>
      </c>
    </row>
    <row r="112" spans="2:2" x14ac:dyDescent="0.2">
      <c r="B112" t="s">
        <v>166</v>
      </c>
    </row>
    <row r="113" spans="2:2" x14ac:dyDescent="0.2">
      <c r="B113" t="s">
        <v>167</v>
      </c>
    </row>
    <row r="114" spans="2:2" x14ac:dyDescent="0.2">
      <c r="B114" t="s">
        <v>168</v>
      </c>
    </row>
    <row r="115" spans="2:2" x14ac:dyDescent="0.2">
      <c r="B115" t="s">
        <v>169</v>
      </c>
    </row>
    <row r="116" spans="2:2" x14ac:dyDescent="0.2">
      <c r="B116" t="s">
        <v>170</v>
      </c>
    </row>
    <row r="117" spans="2:2" x14ac:dyDescent="0.2">
      <c r="B117" t="s">
        <v>171</v>
      </c>
    </row>
    <row r="118" spans="2:2" x14ac:dyDescent="0.2">
      <c r="B118" t="s">
        <v>172</v>
      </c>
    </row>
    <row r="119" spans="2:2" x14ac:dyDescent="0.2">
      <c r="B119" t="s">
        <v>173</v>
      </c>
    </row>
    <row r="120" spans="2:2" x14ac:dyDescent="0.2">
      <c r="B120" t="s">
        <v>174</v>
      </c>
    </row>
    <row r="121" spans="2:2" x14ac:dyDescent="0.2">
      <c r="B121" t="s">
        <v>175</v>
      </c>
    </row>
    <row r="122" spans="2:2" x14ac:dyDescent="0.2">
      <c r="B122" t="s">
        <v>176</v>
      </c>
    </row>
    <row r="123" spans="2:2" x14ac:dyDescent="0.2">
      <c r="B123" t="s">
        <v>177</v>
      </c>
    </row>
    <row r="124" spans="2:2" x14ac:dyDescent="0.2">
      <c r="B124" t="s">
        <v>178</v>
      </c>
    </row>
    <row r="125" spans="2:2" x14ac:dyDescent="0.2">
      <c r="B125" t="s">
        <v>179</v>
      </c>
    </row>
    <row r="126" spans="2:2" x14ac:dyDescent="0.2">
      <c r="B126" t="s">
        <v>180</v>
      </c>
    </row>
    <row r="127" spans="2:2" x14ac:dyDescent="0.2">
      <c r="B127" t="s">
        <v>181</v>
      </c>
    </row>
    <row r="128" spans="2:2" x14ac:dyDescent="0.2">
      <c r="B128" t="s">
        <v>182</v>
      </c>
    </row>
    <row r="129" spans="2:2" x14ac:dyDescent="0.2">
      <c r="B129" t="s">
        <v>183</v>
      </c>
    </row>
    <row r="130" spans="2:2" x14ac:dyDescent="0.2">
      <c r="B130" t="s">
        <v>184</v>
      </c>
    </row>
    <row r="131" spans="2:2" x14ac:dyDescent="0.2">
      <c r="B131" t="s">
        <v>185</v>
      </c>
    </row>
    <row r="132" spans="2:2" x14ac:dyDescent="0.2">
      <c r="B132" t="s">
        <v>186</v>
      </c>
    </row>
    <row r="133" spans="2:2" x14ac:dyDescent="0.2">
      <c r="B133" t="s">
        <v>187</v>
      </c>
    </row>
    <row r="134" spans="2:2" x14ac:dyDescent="0.2">
      <c r="B134" t="s">
        <v>188</v>
      </c>
    </row>
    <row r="135" spans="2:2" x14ac:dyDescent="0.2">
      <c r="B135" t="s">
        <v>189</v>
      </c>
    </row>
    <row r="136" spans="2:2" x14ac:dyDescent="0.2">
      <c r="B136" t="s">
        <v>190</v>
      </c>
    </row>
    <row r="137" spans="2:2" x14ac:dyDescent="0.2">
      <c r="B137" t="s">
        <v>191</v>
      </c>
    </row>
    <row r="138" spans="2:2" x14ac:dyDescent="0.2">
      <c r="B138" t="s">
        <v>192</v>
      </c>
    </row>
    <row r="139" spans="2:2" x14ac:dyDescent="0.2">
      <c r="B139" t="s">
        <v>193</v>
      </c>
    </row>
    <row r="140" spans="2:2" x14ac:dyDescent="0.2">
      <c r="B140" t="s">
        <v>194</v>
      </c>
    </row>
    <row r="141" spans="2:2" x14ac:dyDescent="0.2">
      <c r="B141" t="s">
        <v>195</v>
      </c>
    </row>
    <row r="142" spans="2:2" x14ac:dyDescent="0.2">
      <c r="B142" t="s">
        <v>196</v>
      </c>
    </row>
    <row r="143" spans="2:2" x14ac:dyDescent="0.2">
      <c r="B143" t="s">
        <v>197</v>
      </c>
    </row>
    <row r="144" spans="2:2" x14ac:dyDescent="0.2">
      <c r="B144" t="s">
        <v>198</v>
      </c>
    </row>
    <row r="145" spans="2:2" x14ac:dyDescent="0.2">
      <c r="B145" t="s">
        <v>199</v>
      </c>
    </row>
    <row r="146" spans="2:2" x14ac:dyDescent="0.2">
      <c r="B146" t="s">
        <v>200</v>
      </c>
    </row>
    <row r="147" spans="2:2" x14ac:dyDescent="0.2">
      <c r="B147" t="s">
        <v>201</v>
      </c>
    </row>
    <row r="148" spans="2:2" x14ac:dyDescent="0.2">
      <c r="B148" t="s">
        <v>202</v>
      </c>
    </row>
    <row r="149" spans="2:2" x14ac:dyDescent="0.2">
      <c r="B149" t="s">
        <v>203</v>
      </c>
    </row>
    <row r="150" spans="2:2" x14ac:dyDescent="0.2">
      <c r="B150" t="s">
        <v>204</v>
      </c>
    </row>
    <row r="151" spans="2:2" x14ac:dyDescent="0.2">
      <c r="B151" t="s">
        <v>205</v>
      </c>
    </row>
    <row r="152" spans="2:2" x14ac:dyDescent="0.2">
      <c r="B152" t="s">
        <v>206</v>
      </c>
    </row>
    <row r="153" spans="2:2" x14ac:dyDescent="0.2">
      <c r="B153" t="s">
        <v>207</v>
      </c>
    </row>
    <row r="154" spans="2:2" x14ac:dyDescent="0.2">
      <c r="B154" t="s">
        <v>208</v>
      </c>
    </row>
    <row r="155" spans="2:2" x14ac:dyDescent="0.2">
      <c r="B155" t="s">
        <v>209</v>
      </c>
    </row>
    <row r="156" spans="2:2" x14ac:dyDescent="0.2">
      <c r="B156" t="s">
        <v>210</v>
      </c>
    </row>
    <row r="157" spans="2:2" x14ac:dyDescent="0.2">
      <c r="B157" t="s">
        <v>211</v>
      </c>
    </row>
    <row r="158" spans="2:2" x14ac:dyDescent="0.2">
      <c r="B158" t="s">
        <v>212</v>
      </c>
    </row>
    <row r="159" spans="2:2" x14ac:dyDescent="0.2">
      <c r="B159" t="s">
        <v>213</v>
      </c>
    </row>
    <row r="160" spans="2:2" x14ac:dyDescent="0.2">
      <c r="B160" t="s">
        <v>214</v>
      </c>
    </row>
    <row r="161" spans="2:2" x14ac:dyDescent="0.2">
      <c r="B161" t="s">
        <v>215</v>
      </c>
    </row>
    <row r="162" spans="2:2" x14ac:dyDescent="0.2">
      <c r="B162" t="s">
        <v>216</v>
      </c>
    </row>
    <row r="163" spans="2:2" x14ac:dyDescent="0.2">
      <c r="B163" t="s">
        <v>217</v>
      </c>
    </row>
    <row r="164" spans="2:2" x14ac:dyDescent="0.2">
      <c r="B164" t="s">
        <v>218</v>
      </c>
    </row>
    <row r="165" spans="2:2" x14ac:dyDescent="0.2">
      <c r="B165" t="s">
        <v>219</v>
      </c>
    </row>
    <row r="166" spans="2:2" x14ac:dyDescent="0.2">
      <c r="B166" t="s">
        <v>220</v>
      </c>
    </row>
    <row r="167" spans="2:2" x14ac:dyDescent="0.2">
      <c r="B167" t="s">
        <v>221</v>
      </c>
    </row>
    <row r="168" spans="2:2" x14ac:dyDescent="0.2">
      <c r="B168" t="s">
        <v>222</v>
      </c>
    </row>
    <row r="169" spans="2:2" x14ac:dyDescent="0.2">
      <c r="B169" t="s">
        <v>223</v>
      </c>
    </row>
    <row r="170" spans="2:2" x14ac:dyDescent="0.2">
      <c r="B170" t="s">
        <v>224</v>
      </c>
    </row>
    <row r="171" spans="2:2" x14ac:dyDescent="0.2">
      <c r="B171" t="s">
        <v>225</v>
      </c>
    </row>
    <row r="172" spans="2:2" x14ac:dyDescent="0.2">
      <c r="B172" t="s">
        <v>226</v>
      </c>
    </row>
    <row r="173" spans="2:2" x14ac:dyDescent="0.2">
      <c r="B173" t="s">
        <v>227</v>
      </c>
    </row>
    <row r="174" spans="2:2" x14ac:dyDescent="0.2">
      <c r="B174" t="s">
        <v>228</v>
      </c>
    </row>
    <row r="175" spans="2:2" x14ac:dyDescent="0.2">
      <c r="B175" t="s">
        <v>229</v>
      </c>
    </row>
    <row r="176" spans="2:2" x14ac:dyDescent="0.2">
      <c r="B176" t="s">
        <v>230</v>
      </c>
    </row>
    <row r="177" spans="2:2" x14ac:dyDescent="0.2">
      <c r="B177" t="s">
        <v>231</v>
      </c>
    </row>
    <row r="178" spans="2:2" x14ac:dyDescent="0.2">
      <c r="B178" t="s">
        <v>232</v>
      </c>
    </row>
    <row r="179" spans="2:2" x14ac:dyDescent="0.2">
      <c r="B179" t="s">
        <v>233</v>
      </c>
    </row>
    <row r="180" spans="2:2" x14ac:dyDescent="0.2">
      <c r="B180" t="s">
        <v>234</v>
      </c>
    </row>
    <row r="181" spans="2:2" x14ac:dyDescent="0.2">
      <c r="B181" t="s">
        <v>235</v>
      </c>
    </row>
    <row r="182" spans="2:2" x14ac:dyDescent="0.2">
      <c r="B182" t="s">
        <v>236</v>
      </c>
    </row>
    <row r="183" spans="2:2" x14ac:dyDescent="0.2">
      <c r="B183" t="s">
        <v>237</v>
      </c>
    </row>
    <row r="184" spans="2:2" x14ac:dyDescent="0.2">
      <c r="B184" t="s">
        <v>238</v>
      </c>
    </row>
    <row r="185" spans="2:2" x14ac:dyDescent="0.2">
      <c r="B185" t="s">
        <v>239</v>
      </c>
    </row>
    <row r="186" spans="2:2" x14ac:dyDescent="0.2">
      <c r="B186" t="s">
        <v>240</v>
      </c>
    </row>
    <row r="187" spans="2:2" x14ac:dyDescent="0.2">
      <c r="B187" t="s">
        <v>241</v>
      </c>
    </row>
    <row r="188" spans="2:2" x14ac:dyDescent="0.2">
      <c r="B188" t="s">
        <v>242</v>
      </c>
    </row>
    <row r="189" spans="2:2" x14ac:dyDescent="0.2">
      <c r="B189" t="s">
        <v>243</v>
      </c>
    </row>
    <row r="190" spans="2:2" x14ac:dyDescent="0.2">
      <c r="B190" t="s">
        <v>244</v>
      </c>
    </row>
    <row r="191" spans="2:2" x14ac:dyDescent="0.2">
      <c r="B191" t="s">
        <v>245</v>
      </c>
    </row>
    <row r="192" spans="2:2" x14ac:dyDescent="0.2">
      <c r="B192" t="s">
        <v>246</v>
      </c>
    </row>
    <row r="193" spans="2:2" x14ac:dyDescent="0.2">
      <c r="B193" t="s">
        <v>247</v>
      </c>
    </row>
    <row r="194" spans="2:2" x14ac:dyDescent="0.2">
      <c r="B194" t="s">
        <v>248</v>
      </c>
    </row>
    <row r="195" spans="2:2" x14ac:dyDescent="0.2">
      <c r="B195" t="s">
        <v>249</v>
      </c>
    </row>
    <row r="196" spans="2:2" x14ac:dyDescent="0.2">
      <c r="B196" t="s">
        <v>250</v>
      </c>
    </row>
    <row r="197" spans="2:2" x14ac:dyDescent="0.2">
      <c r="B197" t="s">
        <v>251</v>
      </c>
    </row>
    <row r="198" spans="2:2" x14ac:dyDescent="0.2">
      <c r="B198" t="s">
        <v>252</v>
      </c>
    </row>
    <row r="199" spans="2:2" x14ac:dyDescent="0.2">
      <c r="B199" t="s">
        <v>253</v>
      </c>
    </row>
    <row r="200" spans="2:2" x14ac:dyDescent="0.2">
      <c r="B200" t="s">
        <v>254</v>
      </c>
    </row>
    <row r="201" spans="2:2" x14ac:dyDescent="0.2">
      <c r="B201" t="s">
        <v>255</v>
      </c>
    </row>
    <row r="202" spans="2:2" x14ac:dyDescent="0.2">
      <c r="B202" t="s">
        <v>256</v>
      </c>
    </row>
    <row r="203" spans="2:2" x14ac:dyDescent="0.2">
      <c r="B203" t="s">
        <v>257</v>
      </c>
    </row>
    <row r="204" spans="2:2" x14ac:dyDescent="0.2">
      <c r="B204" t="s">
        <v>258</v>
      </c>
    </row>
    <row r="205" spans="2:2" x14ac:dyDescent="0.2">
      <c r="B205" t="s">
        <v>259</v>
      </c>
    </row>
    <row r="206" spans="2:2" x14ac:dyDescent="0.2">
      <c r="B206" t="s">
        <v>260</v>
      </c>
    </row>
    <row r="207" spans="2:2" x14ac:dyDescent="0.2">
      <c r="B207" t="s">
        <v>261</v>
      </c>
    </row>
    <row r="208" spans="2:2" x14ac:dyDescent="0.2">
      <c r="B208" t="s">
        <v>262</v>
      </c>
    </row>
    <row r="209" spans="2:2" x14ac:dyDescent="0.2">
      <c r="B209" t="s">
        <v>263</v>
      </c>
    </row>
    <row r="210" spans="2:2" x14ac:dyDescent="0.2">
      <c r="B210" t="s">
        <v>264</v>
      </c>
    </row>
    <row r="211" spans="2:2" x14ac:dyDescent="0.2">
      <c r="B211" t="s">
        <v>265</v>
      </c>
    </row>
    <row r="212" spans="2:2" x14ac:dyDescent="0.2">
      <c r="B212" t="s">
        <v>266</v>
      </c>
    </row>
    <row r="213" spans="2:2" x14ac:dyDescent="0.2">
      <c r="B213" t="s">
        <v>267</v>
      </c>
    </row>
    <row r="214" spans="2:2" x14ac:dyDescent="0.2">
      <c r="B214" t="s">
        <v>268</v>
      </c>
    </row>
    <row r="215" spans="2:2" x14ac:dyDescent="0.2">
      <c r="B215" t="s">
        <v>269</v>
      </c>
    </row>
    <row r="216" spans="2:2" x14ac:dyDescent="0.2">
      <c r="B216" t="s">
        <v>270</v>
      </c>
    </row>
    <row r="217" spans="2:2" x14ac:dyDescent="0.2">
      <c r="B217" t="s">
        <v>271</v>
      </c>
    </row>
    <row r="218" spans="2:2" x14ac:dyDescent="0.2">
      <c r="B218" t="s">
        <v>272</v>
      </c>
    </row>
    <row r="219" spans="2:2" x14ac:dyDescent="0.2">
      <c r="B219" t="s">
        <v>273</v>
      </c>
    </row>
    <row r="220" spans="2:2" x14ac:dyDescent="0.2">
      <c r="B220" t="s">
        <v>274</v>
      </c>
    </row>
    <row r="221" spans="2:2" x14ac:dyDescent="0.2">
      <c r="B221" t="s">
        <v>275</v>
      </c>
    </row>
    <row r="222" spans="2:2" x14ac:dyDescent="0.2">
      <c r="B222" t="s">
        <v>276</v>
      </c>
    </row>
    <row r="223" spans="2:2" x14ac:dyDescent="0.2">
      <c r="B223" t="s">
        <v>277</v>
      </c>
    </row>
    <row r="224" spans="2:2" x14ac:dyDescent="0.2">
      <c r="B224" t="s">
        <v>278</v>
      </c>
    </row>
    <row r="225" spans="2:2" x14ac:dyDescent="0.2">
      <c r="B225" t="s">
        <v>279</v>
      </c>
    </row>
    <row r="226" spans="2:2" x14ac:dyDescent="0.2">
      <c r="B226" t="s">
        <v>280</v>
      </c>
    </row>
    <row r="227" spans="2:2" x14ac:dyDescent="0.2">
      <c r="B227" t="s">
        <v>281</v>
      </c>
    </row>
    <row r="228" spans="2:2" x14ac:dyDescent="0.2">
      <c r="B228" t="s">
        <v>282</v>
      </c>
    </row>
    <row r="229" spans="2:2" x14ac:dyDescent="0.2">
      <c r="B229" t="s">
        <v>283</v>
      </c>
    </row>
    <row r="230" spans="2:2" x14ac:dyDescent="0.2">
      <c r="B230" t="s">
        <v>284</v>
      </c>
    </row>
    <row r="231" spans="2:2" x14ac:dyDescent="0.2">
      <c r="B231" t="s">
        <v>285</v>
      </c>
    </row>
    <row r="232" spans="2:2" x14ac:dyDescent="0.2">
      <c r="B232" t="s">
        <v>286</v>
      </c>
    </row>
    <row r="233" spans="2:2" x14ac:dyDescent="0.2">
      <c r="B233" t="s">
        <v>287</v>
      </c>
    </row>
    <row r="234" spans="2:2" x14ac:dyDescent="0.2">
      <c r="B234" t="s">
        <v>288</v>
      </c>
    </row>
    <row r="235" spans="2:2" x14ac:dyDescent="0.2">
      <c r="B235" t="s">
        <v>289</v>
      </c>
    </row>
    <row r="236" spans="2:2" x14ac:dyDescent="0.2">
      <c r="B236" t="s">
        <v>290</v>
      </c>
    </row>
    <row r="237" spans="2:2" x14ac:dyDescent="0.2">
      <c r="B237" t="s">
        <v>291</v>
      </c>
    </row>
    <row r="238" spans="2:2" x14ac:dyDescent="0.2">
      <c r="B238" t="s">
        <v>292</v>
      </c>
    </row>
    <row r="239" spans="2:2" x14ac:dyDescent="0.2">
      <c r="B239" t="s">
        <v>293</v>
      </c>
    </row>
    <row r="240" spans="2:2" x14ac:dyDescent="0.2">
      <c r="B240" t="s">
        <v>294</v>
      </c>
    </row>
    <row r="241" spans="2:2" x14ac:dyDescent="0.2">
      <c r="B241" t="s">
        <v>295</v>
      </c>
    </row>
    <row r="242" spans="2:2" x14ac:dyDescent="0.2">
      <c r="B242" t="s">
        <v>296</v>
      </c>
    </row>
    <row r="243" spans="2:2" x14ac:dyDescent="0.2">
      <c r="B243" t="s">
        <v>297</v>
      </c>
    </row>
    <row r="244" spans="2:2" x14ac:dyDescent="0.2">
      <c r="B244" t="s">
        <v>298</v>
      </c>
    </row>
    <row r="245" spans="2:2" x14ac:dyDescent="0.2">
      <c r="B245" t="s">
        <v>299</v>
      </c>
    </row>
    <row r="246" spans="2:2" x14ac:dyDescent="0.2">
      <c r="B246" t="s">
        <v>300</v>
      </c>
    </row>
    <row r="247" spans="2:2" x14ac:dyDescent="0.2">
      <c r="B247" t="s">
        <v>301</v>
      </c>
    </row>
    <row r="248" spans="2:2" x14ac:dyDescent="0.2">
      <c r="B248" t="s">
        <v>302</v>
      </c>
    </row>
    <row r="249" spans="2:2" x14ac:dyDescent="0.2">
      <c r="B249" t="s">
        <v>303</v>
      </c>
    </row>
    <row r="250" spans="2:2" x14ac:dyDescent="0.2">
      <c r="B250" t="s">
        <v>304</v>
      </c>
    </row>
    <row r="251" spans="2:2" x14ac:dyDescent="0.2">
      <c r="B251" t="s">
        <v>305</v>
      </c>
    </row>
    <row r="252" spans="2:2" x14ac:dyDescent="0.2">
      <c r="B252" t="s">
        <v>306</v>
      </c>
    </row>
    <row r="253" spans="2:2" x14ac:dyDescent="0.2">
      <c r="B253" t="s">
        <v>307</v>
      </c>
    </row>
    <row r="254" spans="2:2" x14ac:dyDescent="0.2">
      <c r="B254" t="s">
        <v>308</v>
      </c>
    </row>
    <row r="255" spans="2:2" x14ac:dyDescent="0.2">
      <c r="B255" t="s">
        <v>309</v>
      </c>
    </row>
    <row r="256" spans="2:2" x14ac:dyDescent="0.2">
      <c r="B256" t="s">
        <v>310</v>
      </c>
    </row>
    <row r="257" spans="2:2" x14ac:dyDescent="0.2">
      <c r="B257" t="s">
        <v>311</v>
      </c>
    </row>
    <row r="258" spans="2:2" x14ac:dyDescent="0.2">
      <c r="B258" t="s">
        <v>312</v>
      </c>
    </row>
    <row r="259" spans="2:2" x14ac:dyDescent="0.2">
      <c r="B259" t="s">
        <v>313</v>
      </c>
    </row>
    <row r="260" spans="2:2" x14ac:dyDescent="0.2">
      <c r="B260" t="s">
        <v>314</v>
      </c>
    </row>
    <row r="261" spans="2:2" x14ac:dyDescent="0.2">
      <c r="B261" t="s">
        <v>315</v>
      </c>
    </row>
    <row r="262" spans="2:2" x14ac:dyDescent="0.2">
      <c r="B262" t="s">
        <v>316</v>
      </c>
    </row>
    <row r="263" spans="2:2" x14ac:dyDescent="0.2">
      <c r="B263" t="s">
        <v>317</v>
      </c>
    </row>
    <row r="264" spans="2:2" x14ac:dyDescent="0.2">
      <c r="B264" t="s">
        <v>318</v>
      </c>
    </row>
    <row r="265" spans="2:2" x14ac:dyDescent="0.2">
      <c r="B265" t="s">
        <v>319</v>
      </c>
    </row>
    <row r="266" spans="2:2" x14ac:dyDescent="0.2">
      <c r="B266" t="s">
        <v>320</v>
      </c>
    </row>
    <row r="267" spans="2:2" x14ac:dyDescent="0.2">
      <c r="B267" t="s">
        <v>321</v>
      </c>
    </row>
    <row r="268" spans="2:2" x14ac:dyDescent="0.2">
      <c r="B268" t="s">
        <v>322</v>
      </c>
    </row>
    <row r="269" spans="2:2" x14ac:dyDescent="0.2">
      <c r="B269" t="s">
        <v>323</v>
      </c>
    </row>
    <row r="270" spans="2:2" x14ac:dyDescent="0.2">
      <c r="B270" t="s">
        <v>324</v>
      </c>
    </row>
    <row r="271" spans="2:2" x14ac:dyDescent="0.2">
      <c r="B271" t="s">
        <v>325</v>
      </c>
    </row>
    <row r="272" spans="2:2" x14ac:dyDescent="0.2">
      <c r="B272" t="s">
        <v>326</v>
      </c>
    </row>
    <row r="273" spans="2:2" x14ac:dyDescent="0.2">
      <c r="B273" t="s">
        <v>327</v>
      </c>
    </row>
    <row r="274" spans="2:2" x14ac:dyDescent="0.2">
      <c r="B274" t="s">
        <v>328</v>
      </c>
    </row>
    <row r="275" spans="2:2" x14ac:dyDescent="0.2">
      <c r="B275" t="s">
        <v>329</v>
      </c>
    </row>
    <row r="276" spans="2:2" x14ac:dyDescent="0.2">
      <c r="B276" t="s">
        <v>330</v>
      </c>
    </row>
    <row r="277" spans="2:2" x14ac:dyDescent="0.2">
      <c r="B277" t="s">
        <v>331</v>
      </c>
    </row>
    <row r="278" spans="2:2" x14ac:dyDescent="0.2">
      <c r="B278" t="s">
        <v>332</v>
      </c>
    </row>
    <row r="279" spans="2:2" x14ac:dyDescent="0.2">
      <c r="B279" t="s">
        <v>333</v>
      </c>
    </row>
    <row r="280" spans="2:2" x14ac:dyDescent="0.2">
      <c r="B280" t="s">
        <v>334</v>
      </c>
    </row>
    <row r="281" spans="2:2" x14ac:dyDescent="0.2">
      <c r="B281" t="s">
        <v>335</v>
      </c>
    </row>
    <row r="282" spans="2:2" x14ac:dyDescent="0.2">
      <c r="B282" t="s">
        <v>336</v>
      </c>
    </row>
    <row r="283" spans="2:2" x14ac:dyDescent="0.2">
      <c r="B283" t="s">
        <v>337</v>
      </c>
    </row>
    <row r="284" spans="2:2" x14ac:dyDescent="0.2">
      <c r="B284" t="s">
        <v>338</v>
      </c>
    </row>
    <row r="285" spans="2:2" x14ac:dyDescent="0.2">
      <c r="B285" t="s">
        <v>339</v>
      </c>
    </row>
    <row r="286" spans="2:2" x14ac:dyDescent="0.2">
      <c r="B286" t="s">
        <v>340</v>
      </c>
    </row>
    <row r="287" spans="2:2" x14ac:dyDescent="0.2">
      <c r="B287" t="s">
        <v>341</v>
      </c>
    </row>
    <row r="288" spans="2:2" x14ac:dyDescent="0.2">
      <c r="B288" t="s">
        <v>342</v>
      </c>
    </row>
    <row r="289" spans="2:2" x14ac:dyDescent="0.2">
      <c r="B289" t="s">
        <v>343</v>
      </c>
    </row>
    <row r="290" spans="2:2" x14ac:dyDescent="0.2">
      <c r="B290" t="s">
        <v>344</v>
      </c>
    </row>
    <row r="291" spans="2:2" x14ac:dyDescent="0.2">
      <c r="B291" t="s">
        <v>345</v>
      </c>
    </row>
    <row r="292" spans="2:2" x14ac:dyDescent="0.2">
      <c r="B292" t="s">
        <v>346</v>
      </c>
    </row>
    <row r="293" spans="2:2" x14ac:dyDescent="0.2">
      <c r="B293" t="s">
        <v>347</v>
      </c>
    </row>
    <row r="294" spans="2:2" x14ac:dyDescent="0.2">
      <c r="B294" t="s">
        <v>348</v>
      </c>
    </row>
    <row r="295" spans="2:2" x14ac:dyDescent="0.2">
      <c r="B295" t="s">
        <v>349</v>
      </c>
    </row>
    <row r="296" spans="2:2" x14ac:dyDescent="0.2">
      <c r="B296" t="s">
        <v>350</v>
      </c>
    </row>
    <row r="297" spans="2:2" x14ac:dyDescent="0.2">
      <c r="B297" t="s">
        <v>351</v>
      </c>
    </row>
    <row r="298" spans="2:2" x14ac:dyDescent="0.2">
      <c r="B298" t="s">
        <v>352</v>
      </c>
    </row>
    <row r="299" spans="2:2" x14ac:dyDescent="0.2">
      <c r="B299" t="s">
        <v>353</v>
      </c>
    </row>
    <row r="300" spans="2:2" x14ac:dyDescent="0.2">
      <c r="B300" t="s">
        <v>354</v>
      </c>
    </row>
    <row r="301" spans="2:2" x14ac:dyDescent="0.2">
      <c r="B301" t="s">
        <v>355</v>
      </c>
    </row>
    <row r="302" spans="2:2" x14ac:dyDescent="0.2">
      <c r="B302" t="s">
        <v>356</v>
      </c>
    </row>
    <row r="303" spans="2:2" x14ac:dyDescent="0.2">
      <c r="B303" t="s">
        <v>357</v>
      </c>
    </row>
    <row r="304" spans="2:2" x14ac:dyDescent="0.2">
      <c r="B304" t="s">
        <v>358</v>
      </c>
    </row>
    <row r="305" spans="2:2" x14ac:dyDescent="0.2">
      <c r="B305" t="s">
        <v>359</v>
      </c>
    </row>
    <row r="306" spans="2:2" x14ac:dyDescent="0.2">
      <c r="B306" t="s">
        <v>360</v>
      </c>
    </row>
    <row r="307" spans="2:2" x14ac:dyDescent="0.2">
      <c r="B307" t="s">
        <v>361</v>
      </c>
    </row>
    <row r="308" spans="2:2" x14ac:dyDescent="0.2">
      <c r="B308" t="s">
        <v>362</v>
      </c>
    </row>
    <row r="309" spans="2:2" x14ac:dyDescent="0.2">
      <c r="B309" t="s">
        <v>363</v>
      </c>
    </row>
    <row r="310" spans="2:2" x14ac:dyDescent="0.2">
      <c r="B310" t="s">
        <v>364</v>
      </c>
    </row>
    <row r="311" spans="2:2" x14ac:dyDescent="0.2">
      <c r="B311" t="s">
        <v>365</v>
      </c>
    </row>
    <row r="312" spans="2:2" x14ac:dyDescent="0.2">
      <c r="B312" t="s">
        <v>366</v>
      </c>
    </row>
    <row r="313" spans="2:2" x14ac:dyDescent="0.2">
      <c r="B313" t="s">
        <v>367</v>
      </c>
    </row>
    <row r="314" spans="2:2" x14ac:dyDescent="0.2">
      <c r="B314" t="s">
        <v>368</v>
      </c>
    </row>
    <row r="315" spans="2:2" x14ac:dyDescent="0.2">
      <c r="B315" t="s">
        <v>369</v>
      </c>
    </row>
    <row r="316" spans="2:2" x14ac:dyDescent="0.2">
      <c r="B316" t="s">
        <v>370</v>
      </c>
    </row>
    <row r="317" spans="2:2" x14ac:dyDescent="0.2">
      <c r="B317" t="s">
        <v>371</v>
      </c>
    </row>
    <row r="318" spans="2:2" x14ac:dyDescent="0.2">
      <c r="B318" t="s">
        <v>372</v>
      </c>
    </row>
    <row r="319" spans="2:2" x14ac:dyDescent="0.2">
      <c r="B319" t="s">
        <v>373</v>
      </c>
    </row>
    <row r="320" spans="2:2" x14ac:dyDescent="0.2">
      <c r="B320" t="s">
        <v>374</v>
      </c>
    </row>
    <row r="321" spans="2:2" x14ac:dyDescent="0.2">
      <c r="B321" t="s">
        <v>375</v>
      </c>
    </row>
    <row r="322" spans="2:2" x14ac:dyDescent="0.2">
      <c r="B322" t="s">
        <v>376</v>
      </c>
    </row>
    <row r="323" spans="2:2" x14ac:dyDescent="0.2">
      <c r="B323" t="s">
        <v>377</v>
      </c>
    </row>
    <row r="324" spans="2:2" x14ac:dyDescent="0.2">
      <c r="B324" t="s">
        <v>378</v>
      </c>
    </row>
    <row r="325" spans="2:2" x14ac:dyDescent="0.2">
      <c r="B325" t="s">
        <v>379</v>
      </c>
    </row>
    <row r="326" spans="2:2" x14ac:dyDescent="0.2">
      <c r="B326" t="s">
        <v>380</v>
      </c>
    </row>
    <row r="327" spans="2:2" x14ac:dyDescent="0.2">
      <c r="B327" t="s">
        <v>381</v>
      </c>
    </row>
    <row r="328" spans="2:2" x14ac:dyDescent="0.2">
      <c r="B328" t="s">
        <v>382</v>
      </c>
    </row>
    <row r="329" spans="2:2" x14ac:dyDescent="0.2">
      <c r="B329" t="s">
        <v>383</v>
      </c>
    </row>
    <row r="330" spans="2:2" x14ac:dyDescent="0.2">
      <c r="B330" t="s">
        <v>384</v>
      </c>
    </row>
    <row r="331" spans="2:2" x14ac:dyDescent="0.2">
      <c r="B331" t="s">
        <v>385</v>
      </c>
    </row>
    <row r="332" spans="2:2" x14ac:dyDescent="0.2">
      <c r="B332" t="s">
        <v>386</v>
      </c>
    </row>
    <row r="333" spans="2:2" x14ac:dyDescent="0.2">
      <c r="B333" t="s">
        <v>387</v>
      </c>
    </row>
    <row r="334" spans="2:2" x14ac:dyDescent="0.2">
      <c r="B334" t="s">
        <v>388</v>
      </c>
    </row>
    <row r="335" spans="2:2" x14ac:dyDescent="0.2">
      <c r="B335" t="s">
        <v>389</v>
      </c>
    </row>
    <row r="336" spans="2:2" x14ac:dyDescent="0.2">
      <c r="B336" t="s">
        <v>390</v>
      </c>
    </row>
    <row r="337" spans="2:2" x14ac:dyDescent="0.2">
      <c r="B337" t="s">
        <v>391</v>
      </c>
    </row>
    <row r="338" spans="2:2" x14ac:dyDescent="0.2">
      <c r="B338" t="s">
        <v>392</v>
      </c>
    </row>
    <row r="339" spans="2:2" x14ac:dyDescent="0.2">
      <c r="B339" t="s">
        <v>393</v>
      </c>
    </row>
    <row r="340" spans="2:2" x14ac:dyDescent="0.2">
      <c r="B340" t="s">
        <v>394</v>
      </c>
    </row>
    <row r="341" spans="2:2" x14ac:dyDescent="0.2">
      <c r="B341" t="s">
        <v>395</v>
      </c>
    </row>
    <row r="342" spans="2:2" x14ac:dyDescent="0.2">
      <c r="B342" t="s">
        <v>396</v>
      </c>
    </row>
    <row r="343" spans="2:2" x14ac:dyDescent="0.2">
      <c r="B343" t="s">
        <v>397</v>
      </c>
    </row>
    <row r="344" spans="2:2" x14ac:dyDescent="0.2">
      <c r="B344" t="s">
        <v>398</v>
      </c>
    </row>
    <row r="345" spans="2:2" x14ac:dyDescent="0.2">
      <c r="B345" t="s">
        <v>399</v>
      </c>
    </row>
    <row r="346" spans="2:2" x14ac:dyDescent="0.2">
      <c r="B346" t="s">
        <v>400</v>
      </c>
    </row>
    <row r="347" spans="2:2" x14ac:dyDescent="0.2">
      <c r="B347" t="s">
        <v>401</v>
      </c>
    </row>
    <row r="348" spans="2:2" x14ac:dyDescent="0.2">
      <c r="B348" t="s">
        <v>402</v>
      </c>
    </row>
    <row r="349" spans="2:2" x14ac:dyDescent="0.2">
      <c r="B349" t="s">
        <v>403</v>
      </c>
    </row>
    <row r="350" spans="2:2" x14ac:dyDescent="0.2">
      <c r="B350" t="s">
        <v>404</v>
      </c>
    </row>
    <row r="351" spans="2:2" x14ac:dyDescent="0.2">
      <c r="B351" t="s">
        <v>405</v>
      </c>
    </row>
    <row r="352" spans="2:2" x14ac:dyDescent="0.2">
      <c r="B352" t="s">
        <v>406</v>
      </c>
    </row>
    <row r="353" spans="2:2" x14ac:dyDescent="0.2">
      <c r="B353" t="s">
        <v>407</v>
      </c>
    </row>
    <row r="354" spans="2:2" x14ac:dyDescent="0.2">
      <c r="B354" t="s">
        <v>408</v>
      </c>
    </row>
    <row r="355" spans="2:2" x14ac:dyDescent="0.2">
      <c r="B355" t="s">
        <v>409</v>
      </c>
    </row>
    <row r="356" spans="2:2" x14ac:dyDescent="0.2">
      <c r="B356" t="s">
        <v>410</v>
      </c>
    </row>
    <row r="357" spans="2:2" x14ac:dyDescent="0.2">
      <c r="B357" t="s">
        <v>411</v>
      </c>
    </row>
    <row r="358" spans="2:2" x14ac:dyDescent="0.2">
      <c r="B358" t="s">
        <v>412</v>
      </c>
    </row>
    <row r="359" spans="2:2" x14ac:dyDescent="0.2">
      <c r="B359" t="s">
        <v>413</v>
      </c>
    </row>
    <row r="360" spans="2:2" x14ac:dyDescent="0.2">
      <c r="B360" t="s">
        <v>414</v>
      </c>
    </row>
    <row r="361" spans="2:2" x14ac:dyDescent="0.2">
      <c r="B361" t="s">
        <v>415</v>
      </c>
    </row>
    <row r="362" spans="2:2" x14ac:dyDescent="0.2">
      <c r="B362" t="s">
        <v>416</v>
      </c>
    </row>
    <row r="363" spans="2:2" x14ac:dyDescent="0.2">
      <c r="B363" t="s">
        <v>417</v>
      </c>
    </row>
    <row r="364" spans="2:2" x14ac:dyDescent="0.2">
      <c r="B364" t="s">
        <v>418</v>
      </c>
    </row>
    <row r="365" spans="2:2" x14ac:dyDescent="0.2">
      <c r="B365" t="s">
        <v>419</v>
      </c>
    </row>
    <row r="366" spans="2:2" x14ac:dyDescent="0.2">
      <c r="B366" t="s">
        <v>420</v>
      </c>
    </row>
    <row r="367" spans="2:2" x14ac:dyDescent="0.2">
      <c r="B367" t="s">
        <v>421</v>
      </c>
    </row>
    <row r="368" spans="2:2" x14ac:dyDescent="0.2">
      <c r="B368" t="s">
        <v>422</v>
      </c>
    </row>
    <row r="369" spans="2:2" x14ac:dyDescent="0.2">
      <c r="B369" t="s">
        <v>423</v>
      </c>
    </row>
    <row r="370" spans="2:2" x14ac:dyDescent="0.2">
      <c r="B370" t="s">
        <v>424</v>
      </c>
    </row>
    <row r="371" spans="2:2" x14ac:dyDescent="0.2">
      <c r="B371" t="s">
        <v>425</v>
      </c>
    </row>
    <row r="372" spans="2:2" x14ac:dyDescent="0.2">
      <c r="B372" t="s">
        <v>426</v>
      </c>
    </row>
    <row r="373" spans="2:2" x14ac:dyDescent="0.2">
      <c r="B373" t="s">
        <v>427</v>
      </c>
    </row>
    <row r="374" spans="2:2" x14ac:dyDescent="0.2">
      <c r="B374" t="s">
        <v>428</v>
      </c>
    </row>
    <row r="375" spans="2:2" x14ac:dyDescent="0.2">
      <c r="B375" t="s">
        <v>429</v>
      </c>
    </row>
    <row r="376" spans="2:2" x14ac:dyDescent="0.2">
      <c r="B376" t="s">
        <v>430</v>
      </c>
    </row>
    <row r="377" spans="2:2" x14ac:dyDescent="0.2">
      <c r="B377" t="s">
        <v>431</v>
      </c>
    </row>
    <row r="378" spans="2:2" x14ac:dyDescent="0.2">
      <c r="B378" t="s">
        <v>432</v>
      </c>
    </row>
    <row r="379" spans="2:2" x14ac:dyDescent="0.2">
      <c r="B379" t="s">
        <v>433</v>
      </c>
    </row>
    <row r="380" spans="2:2" x14ac:dyDescent="0.2">
      <c r="B380" t="s">
        <v>434</v>
      </c>
    </row>
    <row r="381" spans="2:2" x14ac:dyDescent="0.2">
      <c r="B381" t="s">
        <v>435</v>
      </c>
    </row>
    <row r="382" spans="2:2" x14ac:dyDescent="0.2">
      <c r="B382" t="s">
        <v>436</v>
      </c>
    </row>
    <row r="383" spans="2:2" x14ac:dyDescent="0.2">
      <c r="B383" t="s">
        <v>437</v>
      </c>
    </row>
    <row r="384" spans="2:2" x14ac:dyDescent="0.2">
      <c r="B384" t="s">
        <v>438</v>
      </c>
    </row>
    <row r="385" spans="2:2" x14ac:dyDescent="0.2">
      <c r="B385" t="s">
        <v>439</v>
      </c>
    </row>
    <row r="386" spans="2:2" x14ac:dyDescent="0.2">
      <c r="B386" t="s">
        <v>440</v>
      </c>
    </row>
    <row r="387" spans="2:2" x14ac:dyDescent="0.2">
      <c r="B387" t="s">
        <v>441</v>
      </c>
    </row>
    <row r="388" spans="2:2" x14ac:dyDescent="0.2">
      <c r="B388" t="s">
        <v>442</v>
      </c>
    </row>
    <row r="389" spans="2:2" x14ac:dyDescent="0.2">
      <c r="B389" t="s">
        <v>443</v>
      </c>
    </row>
    <row r="390" spans="2:2" x14ac:dyDescent="0.2">
      <c r="B390" t="s">
        <v>444</v>
      </c>
    </row>
    <row r="391" spans="2:2" x14ac:dyDescent="0.2">
      <c r="B391" t="s">
        <v>445</v>
      </c>
    </row>
    <row r="392" spans="2:2" x14ac:dyDescent="0.2">
      <c r="B392" t="s">
        <v>446</v>
      </c>
    </row>
    <row r="393" spans="2:2" x14ac:dyDescent="0.2">
      <c r="B393" t="s">
        <v>447</v>
      </c>
    </row>
    <row r="394" spans="2:2" x14ac:dyDescent="0.2">
      <c r="B394" t="s">
        <v>448</v>
      </c>
    </row>
    <row r="395" spans="2:2" x14ac:dyDescent="0.2">
      <c r="B395" t="s">
        <v>449</v>
      </c>
    </row>
    <row r="396" spans="2:2" x14ac:dyDescent="0.2">
      <c r="B396" t="s">
        <v>450</v>
      </c>
    </row>
    <row r="397" spans="2:2" x14ac:dyDescent="0.2">
      <c r="B397" t="s">
        <v>451</v>
      </c>
    </row>
    <row r="398" spans="2:2" x14ac:dyDescent="0.2">
      <c r="B398" t="s">
        <v>452</v>
      </c>
    </row>
    <row r="399" spans="2:2" x14ac:dyDescent="0.2">
      <c r="B399" t="s">
        <v>453</v>
      </c>
    </row>
    <row r="400" spans="2:2" x14ac:dyDescent="0.2">
      <c r="B400" t="s">
        <v>454</v>
      </c>
    </row>
    <row r="401" spans="2:2" x14ac:dyDescent="0.2">
      <c r="B401" t="s">
        <v>455</v>
      </c>
    </row>
    <row r="402" spans="2:2" x14ac:dyDescent="0.2">
      <c r="B402" t="s">
        <v>456</v>
      </c>
    </row>
    <row r="403" spans="2:2" x14ac:dyDescent="0.2">
      <c r="B403" t="s">
        <v>457</v>
      </c>
    </row>
    <row r="404" spans="2:2" x14ac:dyDescent="0.2">
      <c r="B404" t="s">
        <v>458</v>
      </c>
    </row>
    <row r="405" spans="2:2" x14ac:dyDescent="0.2">
      <c r="B405" t="s">
        <v>459</v>
      </c>
    </row>
    <row r="406" spans="2:2" x14ac:dyDescent="0.2">
      <c r="B406" t="s">
        <v>460</v>
      </c>
    </row>
    <row r="407" spans="2:2" x14ac:dyDescent="0.2">
      <c r="B407" t="s">
        <v>461</v>
      </c>
    </row>
    <row r="408" spans="2:2" x14ac:dyDescent="0.2">
      <c r="B408" t="s">
        <v>462</v>
      </c>
    </row>
    <row r="409" spans="2:2" x14ac:dyDescent="0.2">
      <c r="B409" t="s">
        <v>463</v>
      </c>
    </row>
    <row r="410" spans="2:2" x14ac:dyDescent="0.2">
      <c r="B410" t="s">
        <v>464</v>
      </c>
    </row>
    <row r="411" spans="2:2" x14ac:dyDescent="0.2">
      <c r="B411" t="s">
        <v>465</v>
      </c>
    </row>
    <row r="412" spans="2:2" x14ac:dyDescent="0.2">
      <c r="B412" t="s">
        <v>466</v>
      </c>
    </row>
    <row r="413" spans="2:2" x14ac:dyDescent="0.2">
      <c r="B413" t="s">
        <v>467</v>
      </c>
    </row>
    <row r="414" spans="2:2" x14ac:dyDescent="0.2">
      <c r="B414" t="s">
        <v>468</v>
      </c>
    </row>
    <row r="415" spans="2:2" x14ac:dyDescent="0.2">
      <c r="B415" t="s">
        <v>469</v>
      </c>
    </row>
    <row r="416" spans="2:2" x14ac:dyDescent="0.2">
      <c r="B416" t="s">
        <v>470</v>
      </c>
    </row>
    <row r="417" spans="2:2" x14ac:dyDescent="0.2">
      <c r="B417" t="s">
        <v>471</v>
      </c>
    </row>
    <row r="418" spans="2:2" x14ac:dyDescent="0.2">
      <c r="B418" t="s">
        <v>472</v>
      </c>
    </row>
    <row r="419" spans="2:2" x14ac:dyDescent="0.2">
      <c r="B419" t="s">
        <v>473</v>
      </c>
    </row>
    <row r="420" spans="2:2" x14ac:dyDescent="0.2">
      <c r="B420" t="s">
        <v>474</v>
      </c>
    </row>
    <row r="421" spans="2:2" x14ac:dyDescent="0.2">
      <c r="B421" t="s">
        <v>475</v>
      </c>
    </row>
    <row r="422" spans="2:2" x14ac:dyDescent="0.2">
      <c r="B422" t="s">
        <v>476</v>
      </c>
    </row>
    <row r="423" spans="2:2" x14ac:dyDescent="0.2">
      <c r="B423" t="s">
        <v>477</v>
      </c>
    </row>
    <row r="424" spans="2:2" x14ac:dyDescent="0.2">
      <c r="B424" t="s">
        <v>478</v>
      </c>
    </row>
    <row r="425" spans="2:2" x14ac:dyDescent="0.2">
      <c r="B425" t="s">
        <v>479</v>
      </c>
    </row>
    <row r="426" spans="2:2" x14ac:dyDescent="0.2">
      <c r="B426" t="s">
        <v>480</v>
      </c>
    </row>
    <row r="427" spans="2:2" x14ac:dyDescent="0.2">
      <c r="B427" t="s">
        <v>481</v>
      </c>
    </row>
    <row r="428" spans="2:2" x14ac:dyDescent="0.2">
      <c r="B428" t="s">
        <v>482</v>
      </c>
    </row>
    <row r="429" spans="2:2" x14ac:dyDescent="0.2">
      <c r="B429" t="s">
        <v>483</v>
      </c>
    </row>
    <row r="430" spans="2:2" x14ac:dyDescent="0.2">
      <c r="B430" t="s">
        <v>484</v>
      </c>
    </row>
    <row r="431" spans="2:2" x14ac:dyDescent="0.2">
      <c r="B431" t="s">
        <v>485</v>
      </c>
    </row>
    <row r="432" spans="2:2" x14ac:dyDescent="0.2">
      <c r="B432" t="s">
        <v>486</v>
      </c>
    </row>
    <row r="433" spans="2:2" x14ac:dyDescent="0.2">
      <c r="B433" t="s">
        <v>487</v>
      </c>
    </row>
    <row r="434" spans="2:2" x14ac:dyDescent="0.2">
      <c r="B434" t="s">
        <v>488</v>
      </c>
    </row>
    <row r="435" spans="2:2" x14ac:dyDescent="0.2">
      <c r="B435" t="s">
        <v>489</v>
      </c>
    </row>
    <row r="436" spans="2:2" x14ac:dyDescent="0.2">
      <c r="B436" t="s">
        <v>490</v>
      </c>
    </row>
    <row r="437" spans="2:2" x14ac:dyDescent="0.2">
      <c r="B437" t="s">
        <v>491</v>
      </c>
    </row>
    <row r="438" spans="2:2" x14ac:dyDescent="0.2">
      <c r="B438" t="s">
        <v>492</v>
      </c>
    </row>
    <row r="439" spans="2:2" x14ac:dyDescent="0.2">
      <c r="B439" t="s">
        <v>493</v>
      </c>
    </row>
    <row r="440" spans="2:2" x14ac:dyDescent="0.2">
      <c r="B440" t="s">
        <v>494</v>
      </c>
    </row>
    <row r="441" spans="2:2" x14ac:dyDescent="0.2">
      <c r="B441" t="s">
        <v>495</v>
      </c>
    </row>
    <row r="442" spans="2:2" x14ac:dyDescent="0.2">
      <c r="B442" t="s">
        <v>496</v>
      </c>
    </row>
    <row r="443" spans="2:2" x14ac:dyDescent="0.2">
      <c r="B443" t="s">
        <v>497</v>
      </c>
    </row>
    <row r="444" spans="2:2" x14ac:dyDescent="0.2">
      <c r="B444" t="s">
        <v>498</v>
      </c>
    </row>
    <row r="445" spans="2:2" x14ac:dyDescent="0.2">
      <c r="B445" t="s">
        <v>499</v>
      </c>
    </row>
    <row r="446" spans="2:2" x14ac:dyDescent="0.2">
      <c r="B446" t="s">
        <v>500</v>
      </c>
    </row>
    <row r="447" spans="2:2" x14ac:dyDescent="0.2">
      <c r="B447" t="s">
        <v>501</v>
      </c>
    </row>
    <row r="448" spans="2:2" x14ac:dyDescent="0.2">
      <c r="B448" t="s">
        <v>502</v>
      </c>
    </row>
    <row r="449" spans="2:2" x14ac:dyDescent="0.2">
      <c r="B449" t="s">
        <v>503</v>
      </c>
    </row>
    <row r="450" spans="2:2" x14ac:dyDescent="0.2">
      <c r="B450" t="s">
        <v>504</v>
      </c>
    </row>
    <row r="451" spans="2:2" x14ac:dyDescent="0.2">
      <c r="B451" t="s">
        <v>505</v>
      </c>
    </row>
    <row r="452" spans="2:2" x14ac:dyDescent="0.2">
      <c r="B452" t="s">
        <v>506</v>
      </c>
    </row>
    <row r="453" spans="2:2" x14ac:dyDescent="0.2">
      <c r="B453" t="s">
        <v>507</v>
      </c>
    </row>
    <row r="454" spans="2:2" x14ac:dyDescent="0.2">
      <c r="B454" t="s">
        <v>508</v>
      </c>
    </row>
    <row r="455" spans="2:2" x14ac:dyDescent="0.2">
      <c r="B455" t="s">
        <v>509</v>
      </c>
    </row>
    <row r="456" spans="2:2" x14ac:dyDescent="0.2">
      <c r="B456" t="s">
        <v>510</v>
      </c>
    </row>
    <row r="457" spans="2:2" x14ac:dyDescent="0.2">
      <c r="B457" t="s">
        <v>511</v>
      </c>
    </row>
    <row r="458" spans="2:2" x14ac:dyDescent="0.2">
      <c r="B458" t="s">
        <v>512</v>
      </c>
    </row>
    <row r="459" spans="2:2" x14ac:dyDescent="0.2">
      <c r="B459" t="s">
        <v>513</v>
      </c>
    </row>
    <row r="460" spans="2:2" x14ac:dyDescent="0.2">
      <c r="B460" t="s">
        <v>514</v>
      </c>
    </row>
    <row r="461" spans="2:2" x14ac:dyDescent="0.2">
      <c r="B461" t="s">
        <v>515</v>
      </c>
    </row>
    <row r="462" spans="2:2" x14ac:dyDescent="0.2">
      <c r="B462" t="s">
        <v>516</v>
      </c>
    </row>
    <row r="463" spans="2:2" x14ac:dyDescent="0.2">
      <c r="B463" t="s">
        <v>517</v>
      </c>
    </row>
    <row r="464" spans="2:2" x14ac:dyDescent="0.2">
      <c r="B464" t="s">
        <v>518</v>
      </c>
    </row>
    <row r="465" spans="2:2" x14ac:dyDescent="0.2">
      <c r="B465" t="s">
        <v>519</v>
      </c>
    </row>
    <row r="466" spans="2:2" x14ac:dyDescent="0.2">
      <c r="B466" t="s">
        <v>520</v>
      </c>
    </row>
    <row r="467" spans="2:2" x14ac:dyDescent="0.2">
      <c r="B467" t="s">
        <v>521</v>
      </c>
    </row>
    <row r="468" spans="2:2" x14ac:dyDescent="0.2">
      <c r="B468" t="s">
        <v>522</v>
      </c>
    </row>
    <row r="469" spans="2:2" x14ac:dyDescent="0.2">
      <c r="B469" t="s">
        <v>523</v>
      </c>
    </row>
    <row r="470" spans="2:2" x14ac:dyDescent="0.2">
      <c r="B470" t="s">
        <v>524</v>
      </c>
    </row>
    <row r="471" spans="2:2" x14ac:dyDescent="0.2">
      <c r="B471" t="s">
        <v>525</v>
      </c>
    </row>
    <row r="472" spans="2:2" x14ac:dyDescent="0.2">
      <c r="B472" t="s">
        <v>526</v>
      </c>
    </row>
    <row r="473" spans="2:2" x14ac:dyDescent="0.2">
      <c r="B473" t="s">
        <v>527</v>
      </c>
    </row>
    <row r="474" spans="2:2" x14ac:dyDescent="0.2">
      <c r="B474" t="s">
        <v>528</v>
      </c>
    </row>
    <row r="475" spans="2:2" x14ac:dyDescent="0.2">
      <c r="B475" t="s">
        <v>529</v>
      </c>
    </row>
    <row r="476" spans="2:2" x14ac:dyDescent="0.2">
      <c r="B476" t="s">
        <v>530</v>
      </c>
    </row>
    <row r="477" spans="2:2" x14ac:dyDescent="0.2">
      <c r="B477" t="s">
        <v>531</v>
      </c>
    </row>
    <row r="478" spans="2:2" x14ac:dyDescent="0.2">
      <c r="B478" t="s">
        <v>532</v>
      </c>
    </row>
    <row r="479" spans="2:2" x14ac:dyDescent="0.2">
      <c r="B479" t="s">
        <v>533</v>
      </c>
    </row>
    <row r="480" spans="2:2" x14ac:dyDescent="0.2">
      <c r="B480" t="s">
        <v>534</v>
      </c>
    </row>
    <row r="481" spans="2:2" x14ac:dyDescent="0.2">
      <c r="B481" t="s">
        <v>535</v>
      </c>
    </row>
    <row r="482" spans="2:2" x14ac:dyDescent="0.2">
      <c r="B482" t="s">
        <v>536</v>
      </c>
    </row>
    <row r="483" spans="2:2" x14ac:dyDescent="0.2">
      <c r="B483" t="s">
        <v>537</v>
      </c>
    </row>
    <row r="484" spans="2:2" x14ac:dyDescent="0.2">
      <c r="B484" t="s">
        <v>538</v>
      </c>
    </row>
    <row r="485" spans="2:2" x14ac:dyDescent="0.2">
      <c r="B485" t="s">
        <v>539</v>
      </c>
    </row>
    <row r="486" spans="2:2" x14ac:dyDescent="0.2">
      <c r="B486" t="s">
        <v>540</v>
      </c>
    </row>
    <row r="487" spans="2:2" x14ac:dyDescent="0.2">
      <c r="B487" t="s">
        <v>541</v>
      </c>
    </row>
    <row r="488" spans="2:2" x14ac:dyDescent="0.2">
      <c r="B488" t="s">
        <v>542</v>
      </c>
    </row>
    <row r="489" spans="2:2" x14ac:dyDescent="0.2">
      <c r="B489" t="s">
        <v>543</v>
      </c>
    </row>
    <row r="490" spans="2:2" x14ac:dyDescent="0.2">
      <c r="B490" t="s">
        <v>544</v>
      </c>
    </row>
    <row r="491" spans="2:2" x14ac:dyDescent="0.2">
      <c r="B491" t="s">
        <v>545</v>
      </c>
    </row>
    <row r="492" spans="2:2" x14ac:dyDescent="0.2">
      <c r="B492" t="s">
        <v>546</v>
      </c>
    </row>
    <row r="493" spans="2:2" x14ac:dyDescent="0.2">
      <c r="B493" t="s">
        <v>547</v>
      </c>
    </row>
    <row r="494" spans="2:2" x14ac:dyDescent="0.2">
      <c r="B494" t="s">
        <v>548</v>
      </c>
    </row>
    <row r="495" spans="2:2" x14ac:dyDescent="0.2">
      <c r="B495" t="s">
        <v>549</v>
      </c>
    </row>
    <row r="496" spans="2:2" x14ac:dyDescent="0.2">
      <c r="B496" t="s">
        <v>550</v>
      </c>
    </row>
    <row r="497" spans="2:2" x14ac:dyDescent="0.2">
      <c r="B497" t="s">
        <v>551</v>
      </c>
    </row>
    <row r="498" spans="2:2" x14ac:dyDescent="0.2">
      <c r="B498" t="s">
        <v>552</v>
      </c>
    </row>
    <row r="499" spans="2:2" x14ac:dyDescent="0.2">
      <c r="B499" t="s">
        <v>553</v>
      </c>
    </row>
    <row r="500" spans="2:2" x14ac:dyDescent="0.2">
      <c r="B500" t="s">
        <v>554</v>
      </c>
    </row>
    <row r="501" spans="2:2" x14ac:dyDescent="0.2">
      <c r="B501" t="s">
        <v>555</v>
      </c>
    </row>
    <row r="502" spans="2:2" x14ac:dyDescent="0.2">
      <c r="B502" t="s">
        <v>556</v>
      </c>
    </row>
    <row r="503" spans="2:2" x14ac:dyDescent="0.2">
      <c r="B503" t="s">
        <v>557</v>
      </c>
    </row>
    <row r="504" spans="2:2" x14ac:dyDescent="0.2">
      <c r="B504" t="s">
        <v>558</v>
      </c>
    </row>
    <row r="505" spans="2:2" x14ac:dyDescent="0.2">
      <c r="B505" t="s">
        <v>559</v>
      </c>
    </row>
    <row r="506" spans="2:2" x14ac:dyDescent="0.2">
      <c r="B506" t="s">
        <v>560</v>
      </c>
    </row>
    <row r="507" spans="2:2" x14ac:dyDescent="0.2">
      <c r="B507" t="s">
        <v>561</v>
      </c>
    </row>
    <row r="508" spans="2:2" x14ac:dyDescent="0.2">
      <c r="B508" t="s">
        <v>562</v>
      </c>
    </row>
    <row r="509" spans="2:2" x14ac:dyDescent="0.2">
      <c r="B509" t="s">
        <v>563</v>
      </c>
    </row>
    <row r="510" spans="2:2" x14ac:dyDescent="0.2">
      <c r="B510" t="s">
        <v>564</v>
      </c>
    </row>
    <row r="511" spans="2:2" x14ac:dyDescent="0.2">
      <c r="B511" t="s">
        <v>565</v>
      </c>
    </row>
    <row r="512" spans="2:2" x14ac:dyDescent="0.2">
      <c r="B512" t="s">
        <v>566</v>
      </c>
    </row>
    <row r="513" spans="2:2" x14ac:dyDescent="0.2">
      <c r="B513" t="s">
        <v>567</v>
      </c>
    </row>
    <row r="514" spans="2:2" x14ac:dyDescent="0.2">
      <c r="B514" t="s">
        <v>568</v>
      </c>
    </row>
    <row r="515" spans="2:2" x14ac:dyDescent="0.2">
      <c r="B515" t="s">
        <v>569</v>
      </c>
    </row>
    <row r="516" spans="2:2" x14ac:dyDescent="0.2">
      <c r="B516" t="s">
        <v>570</v>
      </c>
    </row>
    <row r="517" spans="2:2" x14ac:dyDescent="0.2">
      <c r="B517" t="s">
        <v>571</v>
      </c>
    </row>
    <row r="518" spans="2:2" x14ac:dyDescent="0.2">
      <c r="B518" t="s">
        <v>572</v>
      </c>
    </row>
    <row r="519" spans="2:2" x14ac:dyDescent="0.2">
      <c r="B519" t="s">
        <v>573</v>
      </c>
    </row>
    <row r="520" spans="2:2" x14ac:dyDescent="0.2">
      <c r="B520" t="s">
        <v>574</v>
      </c>
    </row>
    <row r="521" spans="2:2" x14ac:dyDescent="0.2">
      <c r="B521" t="s">
        <v>575</v>
      </c>
    </row>
    <row r="522" spans="2:2" x14ac:dyDescent="0.2">
      <c r="B522" t="s">
        <v>576</v>
      </c>
    </row>
    <row r="523" spans="2:2" x14ac:dyDescent="0.2">
      <c r="B523" t="s">
        <v>577</v>
      </c>
    </row>
    <row r="524" spans="2:2" x14ac:dyDescent="0.2">
      <c r="B524" t="s">
        <v>578</v>
      </c>
    </row>
    <row r="525" spans="2:2" x14ac:dyDescent="0.2">
      <c r="B525" t="s">
        <v>579</v>
      </c>
    </row>
    <row r="526" spans="2:2" x14ac:dyDescent="0.2">
      <c r="B526" t="s">
        <v>580</v>
      </c>
    </row>
    <row r="527" spans="2:2" x14ac:dyDescent="0.2">
      <c r="B527" t="s">
        <v>581</v>
      </c>
    </row>
    <row r="528" spans="2:2" x14ac:dyDescent="0.2">
      <c r="B528" t="s">
        <v>582</v>
      </c>
    </row>
    <row r="529" spans="2:2" x14ac:dyDescent="0.2">
      <c r="B529" t="s">
        <v>583</v>
      </c>
    </row>
    <row r="530" spans="2:2" x14ac:dyDescent="0.2">
      <c r="B530" t="s">
        <v>584</v>
      </c>
    </row>
    <row r="531" spans="2:2" x14ac:dyDescent="0.2">
      <c r="B531" t="s">
        <v>585</v>
      </c>
    </row>
    <row r="532" spans="2:2" x14ac:dyDescent="0.2">
      <c r="B532" t="s">
        <v>586</v>
      </c>
    </row>
    <row r="533" spans="2:2" x14ac:dyDescent="0.2">
      <c r="B533" t="s">
        <v>587</v>
      </c>
    </row>
    <row r="534" spans="2:2" x14ac:dyDescent="0.2">
      <c r="B534" t="s">
        <v>588</v>
      </c>
    </row>
    <row r="535" spans="2:2" x14ac:dyDescent="0.2">
      <c r="B535" t="s">
        <v>589</v>
      </c>
    </row>
    <row r="536" spans="2:2" x14ac:dyDescent="0.2">
      <c r="B536" t="s">
        <v>590</v>
      </c>
    </row>
    <row r="537" spans="2:2" x14ac:dyDescent="0.2">
      <c r="B537" t="s">
        <v>591</v>
      </c>
    </row>
    <row r="538" spans="2:2" x14ac:dyDescent="0.2">
      <c r="B538" t="s">
        <v>592</v>
      </c>
    </row>
    <row r="539" spans="2:2" x14ac:dyDescent="0.2">
      <c r="B539" t="s">
        <v>593</v>
      </c>
    </row>
    <row r="540" spans="2:2" x14ac:dyDescent="0.2">
      <c r="B540" t="s">
        <v>594</v>
      </c>
    </row>
    <row r="541" spans="2:2" x14ac:dyDescent="0.2">
      <c r="B541" t="s">
        <v>595</v>
      </c>
    </row>
    <row r="542" spans="2:2" x14ac:dyDescent="0.2">
      <c r="B542" t="s">
        <v>596</v>
      </c>
    </row>
    <row r="543" spans="2:2" x14ac:dyDescent="0.2">
      <c r="B543" t="s">
        <v>597</v>
      </c>
    </row>
    <row r="544" spans="2:2" x14ac:dyDescent="0.2">
      <c r="B544" t="s">
        <v>598</v>
      </c>
    </row>
    <row r="545" spans="2:2" x14ac:dyDescent="0.2">
      <c r="B545" t="s">
        <v>599</v>
      </c>
    </row>
    <row r="546" spans="2:2" x14ac:dyDescent="0.2">
      <c r="B546" t="s">
        <v>600</v>
      </c>
    </row>
    <row r="547" spans="2:2" x14ac:dyDescent="0.2">
      <c r="B547" t="s">
        <v>601</v>
      </c>
    </row>
    <row r="548" spans="2:2" x14ac:dyDescent="0.2">
      <c r="B548" t="s">
        <v>602</v>
      </c>
    </row>
    <row r="549" spans="2:2" x14ac:dyDescent="0.2">
      <c r="B549" t="s">
        <v>603</v>
      </c>
    </row>
    <row r="550" spans="2:2" x14ac:dyDescent="0.2">
      <c r="B550" t="s">
        <v>604</v>
      </c>
    </row>
    <row r="551" spans="2:2" x14ac:dyDescent="0.2">
      <c r="B551" t="s">
        <v>605</v>
      </c>
    </row>
    <row r="552" spans="2:2" x14ac:dyDescent="0.2">
      <c r="B552" t="s">
        <v>606</v>
      </c>
    </row>
    <row r="553" spans="2:2" x14ac:dyDescent="0.2">
      <c r="B553" t="s">
        <v>607</v>
      </c>
    </row>
    <row r="554" spans="2:2" x14ac:dyDescent="0.2">
      <c r="B554" t="s">
        <v>608</v>
      </c>
    </row>
    <row r="555" spans="2:2" x14ac:dyDescent="0.2">
      <c r="B555" t="s">
        <v>609</v>
      </c>
    </row>
    <row r="556" spans="2:2" x14ac:dyDescent="0.2">
      <c r="B556" t="s">
        <v>610</v>
      </c>
    </row>
    <row r="557" spans="2:2" x14ac:dyDescent="0.2">
      <c r="B557" t="s">
        <v>611</v>
      </c>
    </row>
    <row r="558" spans="2:2" x14ac:dyDescent="0.2">
      <c r="B558" t="s">
        <v>612</v>
      </c>
    </row>
    <row r="559" spans="2:2" x14ac:dyDescent="0.2">
      <c r="B559" t="s">
        <v>613</v>
      </c>
    </row>
    <row r="560" spans="2:2" x14ac:dyDescent="0.2">
      <c r="B560" t="s">
        <v>614</v>
      </c>
    </row>
    <row r="561" spans="2:2" x14ac:dyDescent="0.2">
      <c r="B561" t="s">
        <v>615</v>
      </c>
    </row>
    <row r="562" spans="2:2" x14ac:dyDescent="0.2">
      <c r="B562" t="s">
        <v>616</v>
      </c>
    </row>
    <row r="563" spans="2:2" x14ac:dyDescent="0.2">
      <c r="B563" t="s">
        <v>617</v>
      </c>
    </row>
    <row r="564" spans="2:2" x14ac:dyDescent="0.2">
      <c r="B564" t="s">
        <v>618</v>
      </c>
    </row>
    <row r="565" spans="2:2" x14ac:dyDescent="0.2">
      <c r="B565" t="s">
        <v>619</v>
      </c>
    </row>
    <row r="566" spans="2:2" x14ac:dyDescent="0.2">
      <c r="B566" t="s">
        <v>620</v>
      </c>
    </row>
    <row r="567" spans="2:2" x14ac:dyDescent="0.2">
      <c r="B567" t="s">
        <v>621</v>
      </c>
    </row>
    <row r="568" spans="2:2" x14ac:dyDescent="0.2">
      <c r="B568" t="s">
        <v>622</v>
      </c>
    </row>
    <row r="569" spans="2:2" x14ac:dyDescent="0.2">
      <c r="B569" t="s">
        <v>623</v>
      </c>
    </row>
    <row r="570" spans="2:2" x14ac:dyDescent="0.2">
      <c r="B570" t="s">
        <v>624</v>
      </c>
    </row>
    <row r="571" spans="2:2" x14ac:dyDescent="0.2">
      <c r="B571" t="s">
        <v>625</v>
      </c>
    </row>
    <row r="572" spans="2:2" x14ac:dyDescent="0.2">
      <c r="B572" t="s">
        <v>626</v>
      </c>
    </row>
    <row r="573" spans="2:2" x14ac:dyDescent="0.2">
      <c r="B573" t="s">
        <v>627</v>
      </c>
    </row>
    <row r="574" spans="2:2" x14ac:dyDescent="0.2">
      <c r="B574" t="s">
        <v>628</v>
      </c>
    </row>
    <row r="575" spans="2:2" x14ac:dyDescent="0.2">
      <c r="B575" t="s">
        <v>629</v>
      </c>
    </row>
    <row r="576" spans="2:2" x14ac:dyDescent="0.2">
      <c r="B576" t="s">
        <v>630</v>
      </c>
    </row>
    <row r="577" spans="2:2" x14ac:dyDescent="0.2">
      <c r="B577" t="s">
        <v>631</v>
      </c>
    </row>
    <row r="578" spans="2:2" x14ac:dyDescent="0.2">
      <c r="B578" t="s">
        <v>632</v>
      </c>
    </row>
    <row r="579" spans="2:2" x14ac:dyDescent="0.2">
      <c r="B579" t="s">
        <v>633</v>
      </c>
    </row>
    <row r="580" spans="2:2" x14ac:dyDescent="0.2">
      <c r="B580" t="s">
        <v>634</v>
      </c>
    </row>
    <row r="581" spans="2:2" x14ac:dyDescent="0.2">
      <c r="B581" t="s">
        <v>635</v>
      </c>
    </row>
    <row r="582" spans="2:2" x14ac:dyDescent="0.2">
      <c r="B582" t="s">
        <v>636</v>
      </c>
    </row>
    <row r="583" spans="2:2" x14ac:dyDescent="0.2">
      <c r="B583" t="s">
        <v>637</v>
      </c>
    </row>
    <row r="584" spans="2:2" x14ac:dyDescent="0.2">
      <c r="B584" t="s">
        <v>638</v>
      </c>
    </row>
    <row r="585" spans="2:2" x14ac:dyDescent="0.2">
      <c r="B585" t="s">
        <v>639</v>
      </c>
    </row>
    <row r="586" spans="2:2" x14ac:dyDescent="0.2">
      <c r="B586" t="s">
        <v>640</v>
      </c>
    </row>
    <row r="587" spans="2:2" x14ac:dyDescent="0.2">
      <c r="B587" t="s">
        <v>641</v>
      </c>
    </row>
    <row r="588" spans="2:2" x14ac:dyDescent="0.2">
      <c r="B588" t="s">
        <v>642</v>
      </c>
    </row>
    <row r="589" spans="2:2" x14ac:dyDescent="0.2">
      <c r="B589" t="s">
        <v>643</v>
      </c>
    </row>
    <row r="590" spans="2:2" x14ac:dyDescent="0.2">
      <c r="B590" t="s">
        <v>644</v>
      </c>
    </row>
    <row r="591" spans="2:2" x14ac:dyDescent="0.2">
      <c r="B591" t="s">
        <v>645</v>
      </c>
    </row>
    <row r="592" spans="2:2" x14ac:dyDescent="0.2">
      <c r="B592" t="s">
        <v>646</v>
      </c>
    </row>
    <row r="593" spans="2:2" x14ac:dyDescent="0.2">
      <c r="B593" t="s">
        <v>647</v>
      </c>
    </row>
    <row r="594" spans="2:2" x14ac:dyDescent="0.2">
      <c r="B594" t="s">
        <v>648</v>
      </c>
    </row>
    <row r="595" spans="2:2" x14ac:dyDescent="0.2">
      <c r="B595" t="s">
        <v>649</v>
      </c>
    </row>
    <row r="596" spans="2:2" x14ac:dyDescent="0.2">
      <c r="B596" t="s">
        <v>650</v>
      </c>
    </row>
    <row r="597" spans="2:2" x14ac:dyDescent="0.2">
      <c r="B597" t="s">
        <v>651</v>
      </c>
    </row>
    <row r="598" spans="2:2" x14ac:dyDescent="0.2">
      <c r="B598" t="s">
        <v>652</v>
      </c>
    </row>
    <row r="599" spans="2:2" x14ac:dyDescent="0.2">
      <c r="B599" t="s">
        <v>653</v>
      </c>
    </row>
    <row r="600" spans="2:2" x14ac:dyDescent="0.2">
      <c r="B600" t="s">
        <v>654</v>
      </c>
    </row>
    <row r="601" spans="2:2" x14ac:dyDescent="0.2">
      <c r="B601" t="s">
        <v>655</v>
      </c>
    </row>
    <row r="602" spans="2:2" x14ac:dyDescent="0.2">
      <c r="B602" t="s">
        <v>656</v>
      </c>
    </row>
    <row r="603" spans="2:2" x14ac:dyDescent="0.2">
      <c r="B603" t="s">
        <v>657</v>
      </c>
    </row>
    <row r="604" spans="2:2" x14ac:dyDescent="0.2">
      <c r="B604" t="s">
        <v>658</v>
      </c>
    </row>
    <row r="605" spans="2:2" x14ac:dyDescent="0.2">
      <c r="B605" t="s">
        <v>659</v>
      </c>
    </row>
    <row r="606" spans="2:2" x14ac:dyDescent="0.2">
      <c r="B606" t="s">
        <v>660</v>
      </c>
    </row>
    <row r="607" spans="2:2" x14ac:dyDescent="0.2">
      <c r="B607" t="s">
        <v>661</v>
      </c>
    </row>
    <row r="608" spans="2:2" x14ac:dyDescent="0.2">
      <c r="B608" t="s">
        <v>662</v>
      </c>
    </row>
    <row r="609" spans="2:2" x14ac:dyDescent="0.2">
      <c r="B609" t="s">
        <v>663</v>
      </c>
    </row>
    <row r="610" spans="2:2" x14ac:dyDescent="0.2">
      <c r="B610" t="s">
        <v>664</v>
      </c>
    </row>
    <row r="611" spans="2:2" x14ac:dyDescent="0.2">
      <c r="B611" t="s">
        <v>665</v>
      </c>
    </row>
    <row r="612" spans="2:2" x14ac:dyDescent="0.2">
      <c r="B612" t="s">
        <v>666</v>
      </c>
    </row>
    <row r="613" spans="2:2" x14ac:dyDescent="0.2">
      <c r="B613" t="s">
        <v>667</v>
      </c>
    </row>
    <row r="614" spans="2:2" x14ac:dyDescent="0.2">
      <c r="B614" t="s">
        <v>668</v>
      </c>
    </row>
    <row r="615" spans="2:2" x14ac:dyDescent="0.2">
      <c r="B615" t="s">
        <v>669</v>
      </c>
    </row>
    <row r="616" spans="2:2" x14ac:dyDescent="0.2">
      <c r="B616" t="s">
        <v>670</v>
      </c>
    </row>
    <row r="617" spans="2:2" x14ac:dyDescent="0.2">
      <c r="B617" t="s">
        <v>671</v>
      </c>
    </row>
    <row r="618" spans="2:2" x14ac:dyDescent="0.2">
      <c r="B618" t="s">
        <v>672</v>
      </c>
    </row>
    <row r="619" spans="2:2" x14ac:dyDescent="0.2">
      <c r="B619" t="s">
        <v>673</v>
      </c>
    </row>
    <row r="620" spans="2:2" x14ac:dyDescent="0.2">
      <c r="B620" t="s">
        <v>674</v>
      </c>
    </row>
    <row r="621" spans="2:2" x14ac:dyDescent="0.2">
      <c r="B621" t="s">
        <v>675</v>
      </c>
    </row>
    <row r="622" spans="2:2" x14ac:dyDescent="0.2">
      <c r="B622" t="s">
        <v>676</v>
      </c>
    </row>
    <row r="623" spans="2:2" x14ac:dyDescent="0.2">
      <c r="B623" t="s">
        <v>677</v>
      </c>
    </row>
    <row r="624" spans="2:2" x14ac:dyDescent="0.2">
      <c r="B624" t="s">
        <v>678</v>
      </c>
    </row>
    <row r="625" spans="2:2" x14ac:dyDescent="0.2">
      <c r="B625" t="s">
        <v>679</v>
      </c>
    </row>
    <row r="626" spans="2:2" x14ac:dyDescent="0.2">
      <c r="B626" t="s">
        <v>680</v>
      </c>
    </row>
    <row r="627" spans="2:2" x14ac:dyDescent="0.2">
      <c r="B627" t="s">
        <v>681</v>
      </c>
    </row>
    <row r="628" spans="2:2" x14ac:dyDescent="0.2">
      <c r="B628" t="s">
        <v>682</v>
      </c>
    </row>
    <row r="629" spans="2:2" x14ac:dyDescent="0.2">
      <c r="B629" t="s">
        <v>683</v>
      </c>
    </row>
    <row r="630" spans="2:2" x14ac:dyDescent="0.2">
      <c r="B630" t="s">
        <v>684</v>
      </c>
    </row>
    <row r="631" spans="2:2" x14ac:dyDescent="0.2">
      <c r="B631" t="s">
        <v>685</v>
      </c>
    </row>
    <row r="632" spans="2:2" x14ac:dyDescent="0.2">
      <c r="B632" t="s">
        <v>686</v>
      </c>
    </row>
    <row r="633" spans="2:2" x14ac:dyDescent="0.2">
      <c r="B633" t="s">
        <v>687</v>
      </c>
    </row>
    <row r="634" spans="2:2" x14ac:dyDescent="0.2">
      <c r="B634" t="s">
        <v>688</v>
      </c>
    </row>
    <row r="635" spans="2:2" x14ac:dyDescent="0.2">
      <c r="B635" t="s">
        <v>689</v>
      </c>
    </row>
    <row r="636" spans="2:2" x14ac:dyDescent="0.2">
      <c r="B636" t="s">
        <v>690</v>
      </c>
    </row>
    <row r="637" spans="2:2" x14ac:dyDescent="0.2">
      <c r="B637" t="s">
        <v>691</v>
      </c>
    </row>
    <row r="638" spans="2:2" x14ac:dyDescent="0.2">
      <c r="B638" t="s">
        <v>692</v>
      </c>
    </row>
    <row r="639" spans="2:2" x14ac:dyDescent="0.2">
      <c r="B639" t="s">
        <v>693</v>
      </c>
    </row>
    <row r="640" spans="2:2" x14ac:dyDescent="0.2">
      <c r="B640" t="s">
        <v>694</v>
      </c>
    </row>
    <row r="641" spans="2:2" x14ac:dyDescent="0.2">
      <c r="B641" t="s">
        <v>695</v>
      </c>
    </row>
    <row r="642" spans="2:2" x14ac:dyDescent="0.2">
      <c r="B642" t="s">
        <v>696</v>
      </c>
    </row>
    <row r="643" spans="2:2" x14ac:dyDescent="0.2">
      <c r="B643" t="s">
        <v>697</v>
      </c>
    </row>
    <row r="644" spans="2:2" x14ac:dyDescent="0.2">
      <c r="B644" t="s">
        <v>698</v>
      </c>
    </row>
    <row r="645" spans="2:2" x14ac:dyDescent="0.2">
      <c r="B645" t="s">
        <v>699</v>
      </c>
    </row>
    <row r="646" spans="2:2" x14ac:dyDescent="0.2">
      <c r="B646" t="s">
        <v>700</v>
      </c>
    </row>
    <row r="647" spans="2:2" x14ac:dyDescent="0.2">
      <c r="B647" t="s">
        <v>701</v>
      </c>
    </row>
    <row r="648" spans="2:2" x14ac:dyDescent="0.2">
      <c r="B648" t="s">
        <v>702</v>
      </c>
    </row>
    <row r="649" spans="2:2" x14ac:dyDescent="0.2">
      <c r="B649" t="s">
        <v>703</v>
      </c>
    </row>
    <row r="650" spans="2:2" x14ac:dyDescent="0.2">
      <c r="B650" t="s">
        <v>704</v>
      </c>
    </row>
    <row r="651" spans="2:2" x14ac:dyDescent="0.2">
      <c r="B651" t="s">
        <v>705</v>
      </c>
    </row>
    <row r="652" spans="2:2" x14ac:dyDescent="0.2">
      <c r="B652" t="s">
        <v>706</v>
      </c>
    </row>
    <row r="653" spans="2:2" x14ac:dyDescent="0.2">
      <c r="B653" t="s">
        <v>707</v>
      </c>
    </row>
    <row r="654" spans="2:2" x14ac:dyDescent="0.2">
      <c r="B654" t="s">
        <v>708</v>
      </c>
    </row>
    <row r="655" spans="2:2" x14ac:dyDescent="0.2">
      <c r="B655" t="s">
        <v>709</v>
      </c>
    </row>
    <row r="656" spans="2:2" x14ac:dyDescent="0.2">
      <c r="B656" t="s">
        <v>710</v>
      </c>
    </row>
    <row r="657" spans="2:2" x14ac:dyDescent="0.2">
      <c r="B657" t="s">
        <v>711</v>
      </c>
    </row>
    <row r="658" spans="2:2" x14ac:dyDescent="0.2">
      <c r="B658" t="s">
        <v>712</v>
      </c>
    </row>
    <row r="659" spans="2:2" x14ac:dyDescent="0.2">
      <c r="B659" t="s">
        <v>713</v>
      </c>
    </row>
    <row r="660" spans="2:2" x14ac:dyDescent="0.2">
      <c r="B660" t="s">
        <v>714</v>
      </c>
    </row>
    <row r="661" spans="2:2" x14ac:dyDescent="0.2">
      <c r="B661" t="s">
        <v>715</v>
      </c>
    </row>
    <row r="662" spans="2:2" x14ac:dyDescent="0.2">
      <c r="B662" t="s">
        <v>716</v>
      </c>
    </row>
    <row r="663" spans="2:2" x14ac:dyDescent="0.2">
      <c r="B663" t="s">
        <v>717</v>
      </c>
    </row>
    <row r="664" spans="2:2" x14ac:dyDescent="0.2">
      <c r="B664" t="s">
        <v>718</v>
      </c>
    </row>
    <row r="665" spans="2:2" x14ac:dyDescent="0.2">
      <c r="B665" t="s">
        <v>719</v>
      </c>
    </row>
    <row r="666" spans="2:2" x14ac:dyDescent="0.2">
      <c r="B666" t="s">
        <v>720</v>
      </c>
    </row>
    <row r="667" spans="2:2" x14ac:dyDescent="0.2">
      <c r="B667" t="s">
        <v>721</v>
      </c>
    </row>
    <row r="668" spans="2:2" x14ac:dyDescent="0.2">
      <c r="B668" t="s">
        <v>722</v>
      </c>
    </row>
    <row r="669" spans="2:2" x14ac:dyDescent="0.2">
      <c r="B669" t="s">
        <v>723</v>
      </c>
    </row>
    <row r="670" spans="2:2" x14ac:dyDescent="0.2">
      <c r="B670" t="s">
        <v>724</v>
      </c>
    </row>
    <row r="671" spans="2:2" x14ac:dyDescent="0.2">
      <c r="B671" t="s">
        <v>725</v>
      </c>
    </row>
    <row r="672" spans="2:2" x14ac:dyDescent="0.2">
      <c r="B672" t="s">
        <v>726</v>
      </c>
    </row>
    <row r="673" spans="2:2" x14ac:dyDescent="0.2">
      <c r="B673" t="s">
        <v>727</v>
      </c>
    </row>
    <row r="674" spans="2:2" x14ac:dyDescent="0.2">
      <c r="B674" t="s">
        <v>728</v>
      </c>
    </row>
    <row r="675" spans="2:2" x14ac:dyDescent="0.2">
      <c r="B675" t="s">
        <v>729</v>
      </c>
    </row>
    <row r="676" spans="2:2" x14ac:dyDescent="0.2">
      <c r="B676" t="s">
        <v>730</v>
      </c>
    </row>
    <row r="677" spans="2:2" x14ac:dyDescent="0.2">
      <c r="B677" t="s">
        <v>731</v>
      </c>
    </row>
    <row r="678" spans="2:2" x14ac:dyDescent="0.2">
      <c r="B678" t="s">
        <v>732</v>
      </c>
    </row>
    <row r="679" spans="2:2" x14ac:dyDescent="0.2">
      <c r="B679" t="s">
        <v>733</v>
      </c>
    </row>
    <row r="680" spans="2:2" x14ac:dyDescent="0.2">
      <c r="B680" t="s">
        <v>734</v>
      </c>
    </row>
    <row r="681" spans="2:2" x14ac:dyDescent="0.2">
      <c r="B681" t="s">
        <v>735</v>
      </c>
    </row>
    <row r="682" spans="2:2" x14ac:dyDescent="0.2">
      <c r="B682" t="s">
        <v>736</v>
      </c>
    </row>
    <row r="683" spans="2:2" x14ac:dyDescent="0.2">
      <c r="B683" t="s">
        <v>737</v>
      </c>
    </row>
    <row r="684" spans="2:2" x14ac:dyDescent="0.2">
      <c r="B684" t="s">
        <v>738</v>
      </c>
    </row>
    <row r="685" spans="2:2" x14ac:dyDescent="0.2">
      <c r="B685" t="s">
        <v>739</v>
      </c>
    </row>
    <row r="686" spans="2:2" x14ac:dyDescent="0.2">
      <c r="B686" t="s">
        <v>740</v>
      </c>
    </row>
    <row r="687" spans="2:2" x14ac:dyDescent="0.2">
      <c r="B687" t="s">
        <v>741</v>
      </c>
    </row>
    <row r="688" spans="2:2" x14ac:dyDescent="0.2">
      <c r="B688" t="s">
        <v>742</v>
      </c>
    </row>
    <row r="689" spans="2:2" x14ac:dyDescent="0.2">
      <c r="B689" t="s">
        <v>743</v>
      </c>
    </row>
    <row r="690" spans="2:2" x14ac:dyDescent="0.2">
      <c r="B690" t="s">
        <v>744</v>
      </c>
    </row>
    <row r="691" spans="2:2" x14ac:dyDescent="0.2">
      <c r="B691" t="s">
        <v>745</v>
      </c>
    </row>
    <row r="692" spans="2:2" x14ac:dyDescent="0.2">
      <c r="B692" t="s">
        <v>746</v>
      </c>
    </row>
    <row r="693" spans="2:2" x14ac:dyDescent="0.2">
      <c r="B693" t="s">
        <v>747</v>
      </c>
    </row>
    <row r="694" spans="2:2" x14ac:dyDescent="0.2">
      <c r="B694" t="s">
        <v>748</v>
      </c>
    </row>
    <row r="695" spans="2:2" x14ac:dyDescent="0.2">
      <c r="B695" t="s">
        <v>749</v>
      </c>
    </row>
    <row r="696" spans="2:2" x14ac:dyDescent="0.2">
      <c r="B696" t="s">
        <v>750</v>
      </c>
    </row>
    <row r="697" spans="2:2" x14ac:dyDescent="0.2">
      <c r="B697" t="s">
        <v>751</v>
      </c>
    </row>
    <row r="698" spans="2:2" x14ac:dyDescent="0.2">
      <c r="B698" t="s">
        <v>752</v>
      </c>
    </row>
    <row r="699" spans="2:2" x14ac:dyDescent="0.2">
      <c r="B699" t="s">
        <v>753</v>
      </c>
    </row>
    <row r="700" spans="2:2" x14ac:dyDescent="0.2">
      <c r="B700" t="s">
        <v>754</v>
      </c>
    </row>
    <row r="701" spans="2:2" x14ac:dyDescent="0.2">
      <c r="B701" t="s">
        <v>755</v>
      </c>
    </row>
    <row r="702" spans="2:2" x14ac:dyDescent="0.2">
      <c r="B702" t="s">
        <v>756</v>
      </c>
    </row>
    <row r="703" spans="2:2" x14ac:dyDescent="0.2">
      <c r="B703" t="s">
        <v>757</v>
      </c>
    </row>
    <row r="704" spans="2:2" x14ac:dyDescent="0.2">
      <c r="B704" t="s">
        <v>758</v>
      </c>
    </row>
    <row r="705" spans="2:2" x14ac:dyDescent="0.2">
      <c r="B705" t="s">
        <v>759</v>
      </c>
    </row>
    <row r="706" spans="2:2" x14ac:dyDescent="0.2">
      <c r="B706" t="s">
        <v>760</v>
      </c>
    </row>
    <row r="707" spans="2:2" x14ac:dyDescent="0.2">
      <c r="B707" t="s">
        <v>761</v>
      </c>
    </row>
    <row r="708" spans="2:2" x14ac:dyDescent="0.2">
      <c r="B708" t="s">
        <v>762</v>
      </c>
    </row>
    <row r="709" spans="2:2" x14ac:dyDescent="0.2">
      <c r="B709" t="s">
        <v>763</v>
      </c>
    </row>
    <row r="710" spans="2:2" x14ac:dyDescent="0.2">
      <c r="B710" t="s">
        <v>764</v>
      </c>
    </row>
    <row r="711" spans="2:2" x14ac:dyDescent="0.2">
      <c r="B711" t="s">
        <v>765</v>
      </c>
    </row>
    <row r="712" spans="2:2" x14ac:dyDescent="0.2">
      <c r="B712" t="s">
        <v>766</v>
      </c>
    </row>
    <row r="713" spans="2:2" x14ac:dyDescent="0.2">
      <c r="B713" t="s">
        <v>767</v>
      </c>
    </row>
    <row r="714" spans="2:2" x14ac:dyDescent="0.2">
      <c r="B714" t="s">
        <v>768</v>
      </c>
    </row>
    <row r="715" spans="2:2" x14ac:dyDescent="0.2">
      <c r="B715" t="s">
        <v>769</v>
      </c>
    </row>
    <row r="716" spans="2:2" x14ac:dyDescent="0.2">
      <c r="B716" t="s">
        <v>770</v>
      </c>
    </row>
    <row r="717" spans="2:2" x14ac:dyDescent="0.2">
      <c r="B717" t="s">
        <v>771</v>
      </c>
    </row>
    <row r="718" spans="2:2" x14ac:dyDescent="0.2">
      <c r="B718" t="s">
        <v>772</v>
      </c>
    </row>
    <row r="719" spans="2:2" x14ac:dyDescent="0.2">
      <c r="B719" t="s">
        <v>773</v>
      </c>
    </row>
    <row r="720" spans="2:2" x14ac:dyDescent="0.2">
      <c r="B720" t="s">
        <v>774</v>
      </c>
    </row>
    <row r="721" spans="2:2" x14ac:dyDescent="0.2">
      <c r="B721" t="s">
        <v>775</v>
      </c>
    </row>
    <row r="722" spans="2:2" x14ac:dyDescent="0.2">
      <c r="B722" t="s">
        <v>776</v>
      </c>
    </row>
    <row r="723" spans="2:2" x14ac:dyDescent="0.2">
      <c r="B723" t="s">
        <v>777</v>
      </c>
    </row>
    <row r="724" spans="2:2" x14ac:dyDescent="0.2">
      <c r="B724" t="s">
        <v>778</v>
      </c>
    </row>
    <row r="725" spans="2:2" x14ac:dyDescent="0.2">
      <c r="B725" t="s">
        <v>779</v>
      </c>
    </row>
    <row r="726" spans="2:2" x14ac:dyDescent="0.2">
      <c r="B726" t="s">
        <v>780</v>
      </c>
    </row>
    <row r="727" spans="2:2" x14ac:dyDescent="0.2">
      <c r="B727" t="s">
        <v>781</v>
      </c>
    </row>
    <row r="728" spans="2:2" x14ac:dyDescent="0.2">
      <c r="B728" t="s">
        <v>782</v>
      </c>
    </row>
    <row r="729" spans="2:2" x14ac:dyDescent="0.2">
      <c r="B729" t="s">
        <v>783</v>
      </c>
    </row>
    <row r="730" spans="2:2" x14ac:dyDescent="0.2">
      <c r="B730" t="s">
        <v>784</v>
      </c>
    </row>
    <row r="731" spans="2:2" x14ac:dyDescent="0.2">
      <c r="B731" t="s">
        <v>785</v>
      </c>
    </row>
    <row r="732" spans="2:2" x14ac:dyDescent="0.2">
      <c r="B732" t="s">
        <v>786</v>
      </c>
    </row>
    <row r="733" spans="2:2" x14ac:dyDescent="0.2">
      <c r="B733" t="s">
        <v>787</v>
      </c>
    </row>
    <row r="734" spans="2:2" x14ac:dyDescent="0.2">
      <c r="B734" t="s">
        <v>788</v>
      </c>
    </row>
    <row r="735" spans="2:2" x14ac:dyDescent="0.2">
      <c r="B735" t="s">
        <v>789</v>
      </c>
    </row>
    <row r="736" spans="2:2" x14ac:dyDescent="0.2">
      <c r="B736" t="s">
        <v>790</v>
      </c>
    </row>
    <row r="737" spans="2:2" x14ac:dyDescent="0.2">
      <c r="B737" t="s">
        <v>791</v>
      </c>
    </row>
    <row r="738" spans="2:2" x14ac:dyDescent="0.2">
      <c r="B738" t="s">
        <v>792</v>
      </c>
    </row>
    <row r="739" spans="2:2" x14ac:dyDescent="0.2">
      <c r="B739" t="s">
        <v>793</v>
      </c>
    </row>
    <row r="740" spans="2:2" x14ac:dyDescent="0.2">
      <c r="B740" t="s">
        <v>794</v>
      </c>
    </row>
    <row r="741" spans="2:2" x14ac:dyDescent="0.2">
      <c r="B741" t="s">
        <v>795</v>
      </c>
    </row>
    <row r="742" spans="2:2" x14ac:dyDescent="0.2">
      <c r="B742" t="s">
        <v>796</v>
      </c>
    </row>
    <row r="743" spans="2:2" x14ac:dyDescent="0.2">
      <c r="B743" t="s">
        <v>797</v>
      </c>
    </row>
    <row r="744" spans="2:2" x14ac:dyDescent="0.2">
      <c r="B744" t="s">
        <v>798</v>
      </c>
    </row>
    <row r="745" spans="2:2" x14ac:dyDescent="0.2">
      <c r="B745" t="s">
        <v>799</v>
      </c>
    </row>
    <row r="746" spans="2:2" x14ac:dyDescent="0.2">
      <c r="B746" t="s">
        <v>800</v>
      </c>
    </row>
    <row r="747" spans="2:2" x14ac:dyDescent="0.2">
      <c r="B747" t="s">
        <v>801</v>
      </c>
    </row>
    <row r="748" spans="2:2" x14ac:dyDescent="0.2">
      <c r="B748" t="s">
        <v>802</v>
      </c>
    </row>
    <row r="749" spans="2:2" x14ac:dyDescent="0.2">
      <c r="B749" t="s">
        <v>803</v>
      </c>
    </row>
    <row r="750" spans="2:2" x14ac:dyDescent="0.2">
      <c r="B750" t="s">
        <v>804</v>
      </c>
    </row>
    <row r="751" spans="2:2" x14ac:dyDescent="0.2">
      <c r="B751" t="s">
        <v>805</v>
      </c>
    </row>
    <row r="752" spans="2:2" x14ac:dyDescent="0.2">
      <c r="B752" t="s">
        <v>806</v>
      </c>
    </row>
    <row r="753" spans="2:2" x14ac:dyDescent="0.2">
      <c r="B753" t="s">
        <v>807</v>
      </c>
    </row>
    <row r="754" spans="2:2" x14ac:dyDescent="0.2">
      <c r="B754" t="s">
        <v>808</v>
      </c>
    </row>
    <row r="755" spans="2:2" x14ac:dyDescent="0.2">
      <c r="B755" t="s">
        <v>809</v>
      </c>
    </row>
    <row r="756" spans="2:2" x14ac:dyDescent="0.2">
      <c r="B756" t="s">
        <v>810</v>
      </c>
    </row>
    <row r="757" spans="2:2" x14ac:dyDescent="0.2">
      <c r="B757" t="s">
        <v>811</v>
      </c>
    </row>
    <row r="758" spans="2:2" x14ac:dyDescent="0.2">
      <c r="B758" t="s">
        <v>812</v>
      </c>
    </row>
    <row r="759" spans="2:2" x14ac:dyDescent="0.2">
      <c r="B759" t="s">
        <v>813</v>
      </c>
    </row>
    <row r="760" spans="2:2" x14ac:dyDescent="0.2">
      <c r="B760" t="s">
        <v>814</v>
      </c>
    </row>
    <row r="761" spans="2:2" x14ac:dyDescent="0.2">
      <c r="B761" t="s">
        <v>815</v>
      </c>
    </row>
    <row r="762" spans="2:2" x14ac:dyDescent="0.2">
      <c r="B762" t="s">
        <v>816</v>
      </c>
    </row>
    <row r="763" spans="2:2" x14ac:dyDescent="0.2">
      <c r="B763" t="s">
        <v>817</v>
      </c>
    </row>
    <row r="764" spans="2:2" x14ac:dyDescent="0.2">
      <c r="B764" t="s">
        <v>818</v>
      </c>
    </row>
    <row r="765" spans="2:2" x14ac:dyDescent="0.2">
      <c r="B765" t="s">
        <v>819</v>
      </c>
    </row>
    <row r="766" spans="2:2" x14ac:dyDescent="0.2">
      <c r="B766" t="s">
        <v>820</v>
      </c>
    </row>
    <row r="767" spans="2:2" x14ac:dyDescent="0.2">
      <c r="B767" t="s">
        <v>821</v>
      </c>
    </row>
    <row r="768" spans="2:2" x14ac:dyDescent="0.2">
      <c r="B768" t="s">
        <v>822</v>
      </c>
    </row>
    <row r="769" spans="2:2" x14ac:dyDescent="0.2">
      <c r="B769" t="s">
        <v>823</v>
      </c>
    </row>
    <row r="770" spans="2:2" x14ac:dyDescent="0.2">
      <c r="B770" t="s">
        <v>824</v>
      </c>
    </row>
    <row r="771" spans="2:2" x14ac:dyDescent="0.2">
      <c r="B771" t="s">
        <v>825</v>
      </c>
    </row>
    <row r="772" spans="2:2" x14ac:dyDescent="0.2">
      <c r="B772" t="s">
        <v>826</v>
      </c>
    </row>
    <row r="773" spans="2:2" x14ac:dyDescent="0.2">
      <c r="B773" t="s">
        <v>827</v>
      </c>
    </row>
    <row r="774" spans="2:2" x14ac:dyDescent="0.2">
      <c r="B774" t="s">
        <v>828</v>
      </c>
    </row>
    <row r="775" spans="2:2" x14ac:dyDescent="0.2">
      <c r="B775" t="s">
        <v>829</v>
      </c>
    </row>
    <row r="776" spans="2:2" x14ac:dyDescent="0.2">
      <c r="B776" t="s">
        <v>830</v>
      </c>
    </row>
    <row r="777" spans="2:2" x14ac:dyDescent="0.2">
      <c r="B777" t="s">
        <v>831</v>
      </c>
    </row>
    <row r="778" spans="2:2" x14ac:dyDescent="0.2">
      <c r="B778" t="s">
        <v>832</v>
      </c>
    </row>
    <row r="779" spans="2:2" x14ac:dyDescent="0.2">
      <c r="B779" t="s">
        <v>833</v>
      </c>
    </row>
    <row r="780" spans="2:2" x14ac:dyDescent="0.2">
      <c r="B780" t="s">
        <v>834</v>
      </c>
    </row>
    <row r="781" spans="2:2" x14ac:dyDescent="0.2">
      <c r="B781" t="s">
        <v>835</v>
      </c>
    </row>
    <row r="782" spans="2:2" x14ac:dyDescent="0.2">
      <c r="B782" t="s">
        <v>836</v>
      </c>
    </row>
    <row r="783" spans="2:2" x14ac:dyDescent="0.2">
      <c r="B783" t="s">
        <v>837</v>
      </c>
    </row>
    <row r="784" spans="2:2" x14ac:dyDescent="0.2">
      <c r="B784" t="s">
        <v>838</v>
      </c>
    </row>
    <row r="785" spans="2:2" x14ac:dyDescent="0.2">
      <c r="B785" t="s">
        <v>839</v>
      </c>
    </row>
    <row r="786" spans="2:2" x14ac:dyDescent="0.2">
      <c r="B786" t="s">
        <v>840</v>
      </c>
    </row>
    <row r="787" spans="2:2" x14ac:dyDescent="0.2">
      <c r="B787" t="s">
        <v>841</v>
      </c>
    </row>
    <row r="788" spans="2:2" x14ac:dyDescent="0.2">
      <c r="B788" t="s">
        <v>842</v>
      </c>
    </row>
    <row r="789" spans="2:2" x14ac:dyDescent="0.2">
      <c r="B789" t="s">
        <v>843</v>
      </c>
    </row>
    <row r="790" spans="2:2" x14ac:dyDescent="0.2">
      <c r="B790" t="s">
        <v>844</v>
      </c>
    </row>
    <row r="791" spans="2:2" x14ac:dyDescent="0.2">
      <c r="B791" t="s">
        <v>845</v>
      </c>
    </row>
    <row r="792" spans="2:2" x14ac:dyDescent="0.2">
      <c r="B792" t="s">
        <v>846</v>
      </c>
    </row>
    <row r="793" spans="2:2" x14ac:dyDescent="0.2">
      <c r="B793" t="s">
        <v>847</v>
      </c>
    </row>
    <row r="794" spans="2:2" x14ac:dyDescent="0.2">
      <c r="B794" t="s">
        <v>848</v>
      </c>
    </row>
    <row r="795" spans="2:2" x14ac:dyDescent="0.2">
      <c r="B795" t="s">
        <v>849</v>
      </c>
    </row>
    <row r="796" spans="2:2" x14ac:dyDescent="0.2">
      <c r="B796" t="s">
        <v>850</v>
      </c>
    </row>
    <row r="797" spans="2:2" x14ac:dyDescent="0.2">
      <c r="B797" t="s">
        <v>851</v>
      </c>
    </row>
    <row r="798" spans="2:2" x14ac:dyDescent="0.2">
      <c r="B798" t="s">
        <v>852</v>
      </c>
    </row>
    <row r="799" spans="2:2" x14ac:dyDescent="0.2">
      <c r="B799" t="s">
        <v>853</v>
      </c>
    </row>
    <row r="800" spans="2:2" x14ac:dyDescent="0.2">
      <c r="B800" t="s">
        <v>854</v>
      </c>
    </row>
    <row r="801" spans="2:2" x14ac:dyDescent="0.2">
      <c r="B801" t="s">
        <v>855</v>
      </c>
    </row>
    <row r="802" spans="2:2" x14ac:dyDescent="0.2">
      <c r="B802" t="s">
        <v>856</v>
      </c>
    </row>
    <row r="803" spans="2:2" x14ac:dyDescent="0.2">
      <c r="B803" t="s">
        <v>857</v>
      </c>
    </row>
    <row r="804" spans="2:2" x14ac:dyDescent="0.2">
      <c r="B804" t="s">
        <v>858</v>
      </c>
    </row>
    <row r="805" spans="2:2" x14ac:dyDescent="0.2">
      <c r="B805" t="s">
        <v>859</v>
      </c>
    </row>
    <row r="806" spans="2:2" x14ac:dyDescent="0.2">
      <c r="B806" t="s">
        <v>860</v>
      </c>
    </row>
    <row r="807" spans="2:2" x14ac:dyDescent="0.2">
      <c r="B807" t="s">
        <v>861</v>
      </c>
    </row>
    <row r="808" spans="2:2" x14ac:dyDescent="0.2">
      <c r="B808" t="s">
        <v>862</v>
      </c>
    </row>
    <row r="809" spans="2:2" x14ac:dyDescent="0.2">
      <c r="B809" t="s">
        <v>863</v>
      </c>
    </row>
    <row r="810" spans="2:2" x14ac:dyDescent="0.2">
      <c r="B810" t="s">
        <v>864</v>
      </c>
    </row>
    <row r="811" spans="2:2" x14ac:dyDescent="0.2">
      <c r="B811" t="s">
        <v>865</v>
      </c>
    </row>
    <row r="812" spans="2:2" x14ac:dyDescent="0.2">
      <c r="B812" t="s">
        <v>866</v>
      </c>
    </row>
    <row r="813" spans="2:2" x14ac:dyDescent="0.2">
      <c r="B813" t="s">
        <v>867</v>
      </c>
    </row>
    <row r="814" spans="2:2" x14ac:dyDescent="0.2">
      <c r="B814" t="s">
        <v>868</v>
      </c>
    </row>
    <row r="815" spans="2:2" x14ac:dyDescent="0.2">
      <c r="B815" t="s">
        <v>869</v>
      </c>
    </row>
    <row r="816" spans="2:2" x14ac:dyDescent="0.2">
      <c r="B816" t="s">
        <v>870</v>
      </c>
    </row>
    <row r="817" spans="2:2" x14ac:dyDescent="0.2">
      <c r="B817" t="s">
        <v>871</v>
      </c>
    </row>
    <row r="818" spans="2:2" x14ac:dyDescent="0.2">
      <c r="B818" t="s">
        <v>872</v>
      </c>
    </row>
    <row r="819" spans="2:2" x14ac:dyDescent="0.2">
      <c r="B819" t="s">
        <v>873</v>
      </c>
    </row>
    <row r="820" spans="2:2" x14ac:dyDescent="0.2">
      <c r="B820" t="s">
        <v>874</v>
      </c>
    </row>
    <row r="821" spans="2:2" x14ac:dyDescent="0.2">
      <c r="B821" t="s">
        <v>875</v>
      </c>
    </row>
    <row r="822" spans="2:2" x14ac:dyDescent="0.2">
      <c r="B822" t="s">
        <v>876</v>
      </c>
    </row>
    <row r="823" spans="2:2" x14ac:dyDescent="0.2">
      <c r="B823" t="s">
        <v>877</v>
      </c>
    </row>
    <row r="824" spans="2:2" x14ac:dyDescent="0.2">
      <c r="B824" t="s">
        <v>878</v>
      </c>
    </row>
    <row r="825" spans="2:2" x14ac:dyDescent="0.2">
      <c r="B825" t="s">
        <v>879</v>
      </c>
    </row>
    <row r="826" spans="2:2" x14ac:dyDescent="0.2">
      <c r="B826" t="s">
        <v>880</v>
      </c>
    </row>
    <row r="827" spans="2:2" x14ac:dyDescent="0.2">
      <c r="B827" t="s">
        <v>881</v>
      </c>
    </row>
    <row r="828" spans="2:2" x14ac:dyDescent="0.2">
      <c r="B828" t="s">
        <v>882</v>
      </c>
    </row>
    <row r="829" spans="2:2" x14ac:dyDescent="0.2">
      <c r="B829" t="s">
        <v>883</v>
      </c>
    </row>
    <row r="830" spans="2:2" x14ac:dyDescent="0.2">
      <c r="B830" t="s">
        <v>884</v>
      </c>
    </row>
    <row r="831" spans="2:2" x14ac:dyDescent="0.2">
      <c r="B831" t="s">
        <v>885</v>
      </c>
    </row>
    <row r="832" spans="2:2" x14ac:dyDescent="0.2">
      <c r="B832" t="s">
        <v>886</v>
      </c>
    </row>
    <row r="833" spans="2:2" x14ac:dyDescent="0.2">
      <c r="B833" t="s">
        <v>887</v>
      </c>
    </row>
    <row r="834" spans="2:2" x14ac:dyDescent="0.2">
      <c r="B834" t="s">
        <v>888</v>
      </c>
    </row>
    <row r="835" spans="2:2" x14ac:dyDescent="0.2">
      <c r="B835" t="s">
        <v>889</v>
      </c>
    </row>
    <row r="836" spans="2:2" x14ac:dyDescent="0.2">
      <c r="B836" t="s">
        <v>890</v>
      </c>
    </row>
    <row r="837" spans="2:2" x14ac:dyDescent="0.2">
      <c r="B837" t="s">
        <v>891</v>
      </c>
    </row>
    <row r="838" spans="2:2" x14ac:dyDescent="0.2">
      <c r="B838" t="s">
        <v>892</v>
      </c>
    </row>
    <row r="839" spans="2:2" x14ac:dyDescent="0.2">
      <c r="B839" t="s">
        <v>893</v>
      </c>
    </row>
    <row r="840" spans="2:2" x14ac:dyDescent="0.2">
      <c r="B840" t="s">
        <v>894</v>
      </c>
    </row>
    <row r="841" spans="2:2" x14ac:dyDescent="0.2">
      <c r="B841" t="s">
        <v>895</v>
      </c>
    </row>
    <row r="842" spans="2:2" x14ac:dyDescent="0.2">
      <c r="B842" t="s">
        <v>896</v>
      </c>
    </row>
    <row r="843" spans="2:2" x14ac:dyDescent="0.2">
      <c r="B843" t="s">
        <v>897</v>
      </c>
    </row>
    <row r="844" spans="2:2" x14ac:dyDescent="0.2">
      <c r="B844" t="s">
        <v>898</v>
      </c>
    </row>
    <row r="845" spans="2:2" x14ac:dyDescent="0.2">
      <c r="B845" t="s">
        <v>899</v>
      </c>
    </row>
    <row r="846" spans="2:2" x14ac:dyDescent="0.2">
      <c r="B846" t="s">
        <v>900</v>
      </c>
    </row>
    <row r="847" spans="2:2" x14ac:dyDescent="0.2">
      <c r="B847" t="s">
        <v>901</v>
      </c>
    </row>
    <row r="848" spans="2:2" x14ac:dyDescent="0.2">
      <c r="B848" t="s">
        <v>902</v>
      </c>
    </row>
    <row r="849" spans="2:2" x14ac:dyDescent="0.2">
      <c r="B849" t="s">
        <v>903</v>
      </c>
    </row>
    <row r="850" spans="2:2" x14ac:dyDescent="0.2">
      <c r="B850" t="s">
        <v>904</v>
      </c>
    </row>
    <row r="851" spans="2:2" x14ac:dyDescent="0.2">
      <c r="B851" t="s">
        <v>905</v>
      </c>
    </row>
    <row r="852" spans="2:2" x14ac:dyDescent="0.2">
      <c r="B852" t="s">
        <v>906</v>
      </c>
    </row>
    <row r="853" spans="2:2" x14ac:dyDescent="0.2">
      <c r="B853" t="s">
        <v>907</v>
      </c>
    </row>
    <row r="854" spans="2:2" x14ac:dyDescent="0.2">
      <c r="B854" t="s">
        <v>908</v>
      </c>
    </row>
    <row r="855" spans="2:2" x14ac:dyDescent="0.2">
      <c r="B855" t="s">
        <v>909</v>
      </c>
    </row>
    <row r="856" spans="2:2" x14ac:dyDescent="0.2">
      <c r="B856" t="s">
        <v>910</v>
      </c>
    </row>
    <row r="857" spans="2:2" x14ac:dyDescent="0.2">
      <c r="B857" t="s">
        <v>911</v>
      </c>
    </row>
    <row r="858" spans="2:2" x14ac:dyDescent="0.2">
      <c r="B858" t="s">
        <v>912</v>
      </c>
    </row>
    <row r="859" spans="2:2" x14ac:dyDescent="0.2">
      <c r="B859" t="s">
        <v>913</v>
      </c>
    </row>
    <row r="860" spans="2:2" x14ac:dyDescent="0.2">
      <c r="B860" t="s">
        <v>914</v>
      </c>
    </row>
    <row r="861" spans="2:2" x14ac:dyDescent="0.2">
      <c r="B861" t="s">
        <v>915</v>
      </c>
    </row>
    <row r="862" spans="2:2" x14ac:dyDescent="0.2">
      <c r="B862" t="s">
        <v>916</v>
      </c>
    </row>
    <row r="863" spans="2:2" x14ac:dyDescent="0.2">
      <c r="B863" t="s">
        <v>917</v>
      </c>
    </row>
    <row r="864" spans="2:2" x14ac:dyDescent="0.2">
      <c r="B864" t="s">
        <v>918</v>
      </c>
    </row>
    <row r="865" spans="2:2" x14ac:dyDescent="0.2">
      <c r="B865" t="s">
        <v>919</v>
      </c>
    </row>
    <row r="866" spans="2:2" x14ac:dyDescent="0.2">
      <c r="B866" t="s">
        <v>920</v>
      </c>
    </row>
    <row r="867" spans="2:2" x14ac:dyDescent="0.2">
      <c r="B867" t="s">
        <v>921</v>
      </c>
    </row>
    <row r="868" spans="2:2" x14ac:dyDescent="0.2">
      <c r="B868" t="s">
        <v>922</v>
      </c>
    </row>
    <row r="869" spans="2:2" x14ac:dyDescent="0.2">
      <c r="B869" t="s">
        <v>923</v>
      </c>
    </row>
    <row r="870" spans="2:2" x14ac:dyDescent="0.2">
      <c r="B870" t="s">
        <v>924</v>
      </c>
    </row>
    <row r="871" spans="2:2" x14ac:dyDescent="0.2">
      <c r="B871" t="s">
        <v>925</v>
      </c>
    </row>
    <row r="872" spans="2:2" x14ac:dyDescent="0.2">
      <c r="B872" t="s">
        <v>926</v>
      </c>
    </row>
    <row r="873" spans="2:2" x14ac:dyDescent="0.2">
      <c r="B873" t="s">
        <v>927</v>
      </c>
    </row>
    <row r="874" spans="2:2" x14ac:dyDescent="0.2">
      <c r="B874" t="s">
        <v>928</v>
      </c>
    </row>
    <row r="875" spans="2:2" x14ac:dyDescent="0.2">
      <c r="B875" t="s">
        <v>929</v>
      </c>
    </row>
    <row r="876" spans="2:2" x14ac:dyDescent="0.2">
      <c r="B876" t="s">
        <v>930</v>
      </c>
    </row>
    <row r="877" spans="2:2" x14ac:dyDescent="0.2">
      <c r="B877" t="s">
        <v>931</v>
      </c>
    </row>
    <row r="878" spans="2:2" x14ac:dyDescent="0.2">
      <c r="B878" t="s">
        <v>932</v>
      </c>
    </row>
    <row r="879" spans="2:2" x14ac:dyDescent="0.2">
      <c r="B879" t="s">
        <v>933</v>
      </c>
    </row>
    <row r="880" spans="2:2" x14ac:dyDescent="0.2">
      <c r="B880" t="s">
        <v>934</v>
      </c>
    </row>
    <row r="881" spans="2:2" x14ac:dyDescent="0.2">
      <c r="B881" t="s">
        <v>935</v>
      </c>
    </row>
    <row r="882" spans="2:2" x14ac:dyDescent="0.2">
      <c r="B882" t="s">
        <v>936</v>
      </c>
    </row>
    <row r="883" spans="2:2" x14ac:dyDescent="0.2">
      <c r="B883" t="s">
        <v>937</v>
      </c>
    </row>
    <row r="884" spans="2:2" x14ac:dyDescent="0.2">
      <c r="B884" t="s">
        <v>938</v>
      </c>
    </row>
    <row r="885" spans="2:2" x14ac:dyDescent="0.2">
      <c r="B885" t="s">
        <v>939</v>
      </c>
    </row>
    <row r="886" spans="2:2" x14ac:dyDescent="0.2">
      <c r="B886" t="s">
        <v>940</v>
      </c>
    </row>
    <row r="887" spans="2:2" x14ac:dyDescent="0.2">
      <c r="B887" t="s">
        <v>941</v>
      </c>
    </row>
    <row r="888" spans="2:2" x14ac:dyDescent="0.2">
      <c r="B888" t="s">
        <v>942</v>
      </c>
    </row>
    <row r="889" spans="2:2" x14ac:dyDescent="0.2">
      <c r="B889" t="s">
        <v>943</v>
      </c>
    </row>
    <row r="890" spans="2:2" x14ac:dyDescent="0.2">
      <c r="B890" t="s">
        <v>944</v>
      </c>
    </row>
    <row r="891" spans="2:2" x14ac:dyDescent="0.2">
      <c r="B891" t="s">
        <v>945</v>
      </c>
    </row>
    <row r="892" spans="2:2" x14ac:dyDescent="0.2">
      <c r="B892" t="s">
        <v>946</v>
      </c>
    </row>
    <row r="893" spans="2:2" x14ac:dyDescent="0.2">
      <c r="B893" t="s">
        <v>947</v>
      </c>
    </row>
    <row r="894" spans="2:2" x14ac:dyDescent="0.2">
      <c r="B894" t="s">
        <v>948</v>
      </c>
    </row>
    <row r="895" spans="2:2" x14ac:dyDescent="0.2">
      <c r="B895" t="s">
        <v>949</v>
      </c>
    </row>
    <row r="896" spans="2:2" x14ac:dyDescent="0.2">
      <c r="B896" t="s">
        <v>950</v>
      </c>
    </row>
    <row r="897" spans="2:2" x14ac:dyDescent="0.2">
      <c r="B897" t="s">
        <v>951</v>
      </c>
    </row>
    <row r="898" spans="2:2" x14ac:dyDescent="0.2">
      <c r="B898" t="s">
        <v>952</v>
      </c>
    </row>
    <row r="899" spans="2:2" x14ac:dyDescent="0.2">
      <c r="B899" t="s">
        <v>953</v>
      </c>
    </row>
    <row r="900" spans="2:2" x14ac:dyDescent="0.2">
      <c r="B900" t="s">
        <v>954</v>
      </c>
    </row>
    <row r="901" spans="2:2" x14ac:dyDescent="0.2">
      <c r="B901" t="s">
        <v>955</v>
      </c>
    </row>
    <row r="902" spans="2:2" x14ac:dyDescent="0.2">
      <c r="B902" t="s">
        <v>956</v>
      </c>
    </row>
    <row r="903" spans="2:2" x14ac:dyDescent="0.2">
      <c r="B903" t="s">
        <v>957</v>
      </c>
    </row>
    <row r="904" spans="2:2" x14ac:dyDescent="0.2">
      <c r="B904" t="s">
        <v>958</v>
      </c>
    </row>
    <row r="905" spans="2:2" x14ac:dyDescent="0.2">
      <c r="B905" t="s">
        <v>959</v>
      </c>
    </row>
    <row r="906" spans="2:2" x14ac:dyDescent="0.2">
      <c r="B906" t="s">
        <v>960</v>
      </c>
    </row>
    <row r="907" spans="2:2" x14ac:dyDescent="0.2">
      <c r="B907" t="s">
        <v>961</v>
      </c>
    </row>
    <row r="908" spans="2:2" x14ac:dyDescent="0.2">
      <c r="B908" t="s">
        <v>962</v>
      </c>
    </row>
    <row r="909" spans="2:2" x14ac:dyDescent="0.2">
      <c r="B909" t="s">
        <v>963</v>
      </c>
    </row>
    <row r="910" spans="2:2" x14ac:dyDescent="0.2">
      <c r="B910" t="s">
        <v>964</v>
      </c>
    </row>
    <row r="911" spans="2:2" x14ac:dyDescent="0.2">
      <c r="B911" t="s">
        <v>965</v>
      </c>
    </row>
    <row r="912" spans="2:2" x14ac:dyDescent="0.2">
      <c r="B912" t="s">
        <v>966</v>
      </c>
    </row>
    <row r="913" spans="2:2" x14ac:dyDescent="0.2">
      <c r="B913" t="s">
        <v>967</v>
      </c>
    </row>
    <row r="914" spans="2:2" x14ac:dyDescent="0.2">
      <c r="B914" t="s">
        <v>968</v>
      </c>
    </row>
    <row r="915" spans="2:2" x14ac:dyDescent="0.2">
      <c r="B915" t="s">
        <v>969</v>
      </c>
    </row>
    <row r="916" spans="2:2" x14ac:dyDescent="0.2">
      <c r="B916" t="s">
        <v>970</v>
      </c>
    </row>
    <row r="917" spans="2:2" x14ac:dyDescent="0.2">
      <c r="B917" t="s">
        <v>971</v>
      </c>
    </row>
    <row r="918" spans="2:2" x14ac:dyDescent="0.2">
      <c r="B918" t="s">
        <v>972</v>
      </c>
    </row>
    <row r="919" spans="2:2" x14ac:dyDescent="0.2">
      <c r="B919" t="s">
        <v>973</v>
      </c>
    </row>
    <row r="920" spans="2:2" x14ac:dyDescent="0.2">
      <c r="B920" t="s">
        <v>974</v>
      </c>
    </row>
    <row r="921" spans="2:2" x14ac:dyDescent="0.2">
      <c r="B921" t="s">
        <v>975</v>
      </c>
    </row>
    <row r="922" spans="2:2" x14ac:dyDescent="0.2">
      <c r="B922" t="s">
        <v>976</v>
      </c>
    </row>
    <row r="923" spans="2:2" x14ac:dyDescent="0.2">
      <c r="B923" t="s">
        <v>977</v>
      </c>
    </row>
    <row r="924" spans="2:2" x14ac:dyDescent="0.2">
      <c r="B924" t="s">
        <v>978</v>
      </c>
    </row>
    <row r="925" spans="2:2" x14ac:dyDescent="0.2">
      <c r="B925" t="s">
        <v>979</v>
      </c>
    </row>
    <row r="926" spans="2:2" x14ac:dyDescent="0.2">
      <c r="B926" t="s">
        <v>980</v>
      </c>
    </row>
    <row r="927" spans="2:2" x14ac:dyDescent="0.2">
      <c r="B927" t="s">
        <v>981</v>
      </c>
    </row>
    <row r="928" spans="2:2" x14ac:dyDescent="0.2">
      <c r="B928" t="s">
        <v>982</v>
      </c>
    </row>
    <row r="929" spans="2:2" x14ac:dyDescent="0.2">
      <c r="B929" t="s">
        <v>983</v>
      </c>
    </row>
    <row r="930" spans="2:2" x14ac:dyDescent="0.2">
      <c r="B930" t="s">
        <v>984</v>
      </c>
    </row>
    <row r="931" spans="2:2" x14ac:dyDescent="0.2">
      <c r="B931" t="s">
        <v>985</v>
      </c>
    </row>
    <row r="932" spans="2:2" x14ac:dyDescent="0.2">
      <c r="B932" t="s">
        <v>986</v>
      </c>
    </row>
    <row r="933" spans="2:2" x14ac:dyDescent="0.2">
      <c r="B933" t="s">
        <v>987</v>
      </c>
    </row>
    <row r="934" spans="2:2" x14ac:dyDescent="0.2">
      <c r="B934" t="s">
        <v>988</v>
      </c>
    </row>
    <row r="935" spans="2:2" x14ac:dyDescent="0.2">
      <c r="B935" t="s">
        <v>989</v>
      </c>
    </row>
    <row r="936" spans="2:2" x14ac:dyDescent="0.2">
      <c r="B936" t="s">
        <v>990</v>
      </c>
    </row>
    <row r="937" spans="2:2" x14ac:dyDescent="0.2">
      <c r="B937" t="s">
        <v>991</v>
      </c>
    </row>
    <row r="938" spans="2:2" x14ac:dyDescent="0.2">
      <c r="B938" t="s">
        <v>992</v>
      </c>
    </row>
    <row r="939" spans="2:2" x14ac:dyDescent="0.2">
      <c r="B939" t="s">
        <v>993</v>
      </c>
    </row>
    <row r="940" spans="2:2" x14ac:dyDescent="0.2">
      <c r="B940" t="s">
        <v>994</v>
      </c>
    </row>
    <row r="941" spans="2:2" x14ac:dyDescent="0.2">
      <c r="B941" t="s">
        <v>995</v>
      </c>
    </row>
    <row r="942" spans="2:2" x14ac:dyDescent="0.2">
      <c r="B942" t="s">
        <v>996</v>
      </c>
    </row>
    <row r="943" spans="2:2" x14ac:dyDescent="0.2">
      <c r="B943" t="s">
        <v>997</v>
      </c>
    </row>
    <row r="944" spans="2:2" x14ac:dyDescent="0.2">
      <c r="B944" t="s">
        <v>998</v>
      </c>
    </row>
    <row r="945" spans="2:2" x14ac:dyDescent="0.2">
      <c r="B945" t="s">
        <v>999</v>
      </c>
    </row>
    <row r="946" spans="2:2" x14ac:dyDescent="0.2">
      <c r="B946" t="s">
        <v>1000</v>
      </c>
    </row>
    <row r="947" spans="2:2" x14ac:dyDescent="0.2">
      <c r="B947" t="s">
        <v>1001</v>
      </c>
    </row>
    <row r="948" spans="2:2" x14ac:dyDescent="0.2">
      <c r="B948" t="s">
        <v>1002</v>
      </c>
    </row>
    <row r="949" spans="2:2" x14ac:dyDescent="0.2">
      <c r="B949" t="s">
        <v>1003</v>
      </c>
    </row>
    <row r="950" spans="2:2" x14ac:dyDescent="0.2">
      <c r="B950" t="s">
        <v>1004</v>
      </c>
    </row>
    <row r="951" spans="2:2" x14ac:dyDescent="0.2">
      <c r="B951" t="s">
        <v>1005</v>
      </c>
    </row>
    <row r="952" spans="2:2" x14ac:dyDescent="0.2">
      <c r="B952" t="s">
        <v>1006</v>
      </c>
    </row>
    <row r="953" spans="2:2" x14ac:dyDescent="0.2">
      <c r="B953" t="s">
        <v>1007</v>
      </c>
    </row>
    <row r="954" spans="2:2" x14ac:dyDescent="0.2">
      <c r="B954" t="s">
        <v>1008</v>
      </c>
    </row>
    <row r="955" spans="2:2" x14ac:dyDescent="0.2">
      <c r="B955" t="s">
        <v>1009</v>
      </c>
    </row>
    <row r="956" spans="2:2" x14ac:dyDescent="0.2">
      <c r="B956" t="s">
        <v>1010</v>
      </c>
    </row>
    <row r="957" spans="2:2" x14ac:dyDescent="0.2">
      <c r="B957" t="s">
        <v>1011</v>
      </c>
    </row>
    <row r="958" spans="2:2" x14ac:dyDescent="0.2">
      <c r="B958" t="s">
        <v>1012</v>
      </c>
    </row>
    <row r="959" spans="2:2" x14ac:dyDescent="0.2">
      <c r="B959" t="s">
        <v>1013</v>
      </c>
    </row>
    <row r="960" spans="2:2" x14ac:dyDescent="0.2">
      <c r="B960" t="s">
        <v>1014</v>
      </c>
    </row>
    <row r="961" spans="2:2" x14ac:dyDescent="0.2">
      <c r="B961" t="s">
        <v>1015</v>
      </c>
    </row>
    <row r="962" spans="2:2" x14ac:dyDescent="0.2">
      <c r="B962" t="s">
        <v>1016</v>
      </c>
    </row>
    <row r="963" spans="2:2" x14ac:dyDescent="0.2">
      <c r="B963" t="s">
        <v>1017</v>
      </c>
    </row>
    <row r="964" spans="2:2" x14ac:dyDescent="0.2">
      <c r="B964" t="s">
        <v>1018</v>
      </c>
    </row>
    <row r="965" spans="2:2" x14ac:dyDescent="0.2">
      <c r="B965" t="s">
        <v>1019</v>
      </c>
    </row>
    <row r="966" spans="2:2" x14ac:dyDescent="0.2">
      <c r="B966" t="s">
        <v>1020</v>
      </c>
    </row>
    <row r="967" spans="2:2" x14ac:dyDescent="0.2">
      <c r="B967" t="s">
        <v>1021</v>
      </c>
    </row>
    <row r="968" spans="2:2" x14ac:dyDescent="0.2">
      <c r="B968" t="s">
        <v>1022</v>
      </c>
    </row>
    <row r="969" spans="2:2" x14ac:dyDescent="0.2">
      <c r="B969" t="s">
        <v>1023</v>
      </c>
    </row>
    <row r="970" spans="2:2" x14ac:dyDescent="0.2">
      <c r="B970" t="s">
        <v>1024</v>
      </c>
    </row>
    <row r="971" spans="2:2" x14ac:dyDescent="0.2">
      <c r="B971" t="s">
        <v>1025</v>
      </c>
    </row>
    <row r="972" spans="2:2" x14ac:dyDescent="0.2">
      <c r="B972" t="s">
        <v>1026</v>
      </c>
    </row>
    <row r="973" spans="2:2" x14ac:dyDescent="0.2">
      <c r="B973" t="s">
        <v>1027</v>
      </c>
    </row>
    <row r="974" spans="2:2" x14ac:dyDescent="0.2">
      <c r="B974" t="s">
        <v>1028</v>
      </c>
    </row>
    <row r="975" spans="2:2" x14ac:dyDescent="0.2">
      <c r="B975" t="s">
        <v>1029</v>
      </c>
    </row>
    <row r="976" spans="2:2" x14ac:dyDescent="0.2">
      <c r="B976" t="s">
        <v>1030</v>
      </c>
    </row>
    <row r="977" spans="2:2" x14ac:dyDescent="0.2">
      <c r="B977" t="s">
        <v>1031</v>
      </c>
    </row>
    <row r="978" spans="2:2" x14ac:dyDescent="0.2">
      <c r="B978" t="s">
        <v>1032</v>
      </c>
    </row>
    <row r="979" spans="2:2" x14ac:dyDescent="0.2">
      <c r="B979" t="s">
        <v>1033</v>
      </c>
    </row>
    <row r="980" spans="2:2" x14ac:dyDescent="0.2">
      <c r="B980" t="s">
        <v>1034</v>
      </c>
    </row>
    <row r="981" spans="2:2" x14ac:dyDescent="0.2">
      <c r="B981" t="s">
        <v>1035</v>
      </c>
    </row>
    <row r="982" spans="2:2" x14ac:dyDescent="0.2">
      <c r="B982" t="s">
        <v>1036</v>
      </c>
    </row>
    <row r="983" spans="2:2" x14ac:dyDescent="0.2">
      <c r="B983" t="s">
        <v>1037</v>
      </c>
    </row>
    <row r="984" spans="2:2" x14ac:dyDescent="0.2">
      <c r="B984" t="s">
        <v>1038</v>
      </c>
    </row>
    <row r="985" spans="2:2" x14ac:dyDescent="0.2">
      <c r="B985" t="s">
        <v>1039</v>
      </c>
    </row>
    <row r="986" spans="2:2" x14ac:dyDescent="0.2">
      <c r="B986" t="s">
        <v>1040</v>
      </c>
    </row>
    <row r="987" spans="2:2" x14ac:dyDescent="0.2">
      <c r="B987" t="s">
        <v>1041</v>
      </c>
    </row>
    <row r="988" spans="2:2" x14ac:dyDescent="0.2">
      <c r="B988" t="s">
        <v>1042</v>
      </c>
    </row>
    <row r="989" spans="2:2" x14ac:dyDescent="0.2">
      <c r="B989" t="s">
        <v>1043</v>
      </c>
    </row>
    <row r="990" spans="2:2" x14ac:dyDescent="0.2">
      <c r="B990" t="s">
        <v>1044</v>
      </c>
    </row>
    <row r="991" spans="2:2" x14ac:dyDescent="0.2">
      <c r="B991" t="s">
        <v>1045</v>
      </c>
    </row>
    <row r="992" spans="2:2" x14ac:dyDescent="0.2">
      <c r="B992" t="s">
        <v>1046</v>
      </c>
    </row>
    <row r="993" spans="2:2" x14ac:dyDescent="0.2">
      <c r="B993" t="s">
        <v>1047</v>
      </c>
    </row>
    <row r="994" spans="2:2" x14ac:dyDescent="0.2">
      <c r="B994" t="s">
        <v>1048</v>
      </c>
    </row>
    <row r="995" spans="2:2" x14ac:dyDescent="0.2">
      <c r="B995" t="s">
        <v>1049</v>
      </c>
    </row>
    <row r="996" spans="2:2" x14ac:dyDescent="0.2">
      <c r="B996" t="s">
        <v>1050</v>
      </c>
    </row>
    <row r="997" spans="2:2" x14ac:dyDescent="0.2">
      <c r="B997" t="s">
        <v>1051</v>
      </c>
    </row>
    <row r="998" spans="2:2" x14ac:dyDescent="0.2">
      <c r="B998" t="s">
        <v>1052</v>
      </c>
    </row>
    <row r="999" spans="2:2" x14ac:dyDescent="0.2">
      <c r="B999" t="s">
        <v>1053</v>
      </c>
    </row>
    <row r="1000" spans="2:2" x14ac:dyDescent="0.2">
      <c r="B1000" t="s">
        <v>1054</v>
      </c>
    </row>
    <row r="1001" spans="2:2" x14ac:dyDescent="0.2">
      <c r="B1001" t="s">
        <v>1055</v>
      </c>
    </row>
    <row r="1002" spans="2:2" x14ac:dyDescent="0.2">
      <c r="B1002" t="s">
        <v>1056</v>
      </c>
    </row>
    <row r="1003" spans="2:2" x14ac:dyDescent="0.2">
      <c r="B1003" t="s">
        <v>1057</v>
      </c>
    </row>
    <row r="1004" spans="2:2" x14ac:dyDescent="0.2">
      <c r="B1004" t="s">
        <v>1058</v>
      </c>
    </row>
    <row r="1005" spans="2:2" x14ac:dyDescent="0.2">
      <c r="B1005" t="s">
        <v>1059</v>
      </c>
    </row>
    <row r="1006" spans="2:2" x14ac:dyDescent="0.2">
      <c r="B1006" t="s">
        <v>1060</v>
      </c>
    </row>
    <row r="1007" spans="2:2" x14ac:dyDescent="0.2">
      <c r="B1007" t="s">
        <v>1061</v>
      </c>
    </row>
    <row r="1008" spans="2:2" x14ac:dyDescent="0.2">
      <c r="B1008" t="s">
        <v>1062</v>
      </c>
    </row>
    <row r="1009" spans="2:2" x14ac:dyDescent="0.2">
      <c r="B1009" t="s">
        <v>1063</v>
      </c>
    </row>
    <row r="1010" spans="2:2" x14ac:dyDescent="0.2">
      <c r="B1010" t="s">
        <v>1064</v>
      </c>
    </row>
    <row r="1011" spans="2:2" x14ac:dyDescent="0.2">
      <c r="B1011" t="s">
        <v>1065</v>
      </c>
    </row>
    <row r="1012" spans="2:2" x14ac:dyDescent="0.2">
      <c r="B1012" t="s">
        <v>1066</v>
      </c>
    </row>
    <row r="1013" spans="2:2" x14ac:dyDescent="0.2">
      <c r="B1013" t="s">
        <v>1067</v>
      </c>
    </row>
    <row r="1014" spans="2:2" x14ac:dyDescent="0.2">
      <c r="B1014" t="s">
        <v>1068</v>
      </c>
    </row>
    <row r="1015" spans="2:2" x14ac:dyDescent="0.2">
      <c r="B1015" t="s">
        <v>1069</v>
      </c>
    </row>
    <row r="1016" spans="2:2" x14ac:dyDescent="0.2">
      <c r="B1016" t="s">
        <v>1070</v>
      </c>
    </row>
    <row r="1017" spans="2:2" x14ac:dyDescent="0.2">
      <c r="B1017" t="s">
        <v>1071</v>
      </c>
    </row>
    <row r="1018" spans="2:2" x14ac:dyDescent="0.2">
      <c r="B1018" t="s">
        <v>1072</v>
      </c>
    </row>
    <row r="1019" spans="2:2" x14ac:dyDescent="0.2">
      <c r="B1019" t="s">
        <v>1073</v>
      </c>
    </row>
    <row r="1020" spans="2:2" x14ac:dyDescent="0.2">
      <c r="B1020" t="s">
        <v>1074</v>
      </c>
    </row>
    <row r="1021" spans="2:2" x14ac:dyDescent="0.2">
      <c r="B1021" t="s">
        <v>1075</v>
      </c>
    </row>
    <row r="1022" spans="2:2" x14ac:dyDescent="0.2">
      <c r="B1022" t="s">
        <v>1076</v>
      </c>
    </row>
    <row r="1023" spans="2:2" x14ac:dyDescent="0.2">
      <c r="B1023" t="s">
        <v>1077</v>
      </c>
    </row>
    <row r="1024" spans="2:2" x14ac:dyDescent="0.2">
      <c r="B1024" t="s">
        <v>1078</v>
      </c>
    </row>
    <row r="1025" spans="2:2" x14ac:dyDescent="0.2">
      <c r="B1025" t="s">
        <v>1079</v>
      </c>
    </row>
    <row r="1026" spans="2:2" x14ac:dyDescent="0.2">
      <c r="B1026" t="s">
        <v>1080</v>
      </c>
    </row>
    <row r="1027" spans="2:2" x14ac:dyDescent="0.2">
      <c r="B1027" t="s">
        <v>1081</v>
      </c>
    </row>
    <row r="1028" spans="2:2" x14ac:dyDescent="0.2">
      <c r="B1028" t="s">
        <v>1082</v>
      </c>
    </row>
    <row r="1029" spans="2:2" x14ac:dyDescent="0.2">
      <c r="B1029" t="s">
        <v>1083</v>
      </c>
    </row>
    <row r="1030" spans="2:2" x14ac:dyDescent="0.2">
      <c r="B1030" t="s">
        <v>1084</v>
      </c>
    </row>
    <row r="1031" spans="2:2" x14ac:dyDescent="0.2">
      <c r="B1031" t="s">
        <v>1085</v>
      </c>
    </row>
    <row r="1032" spans="2:2" x14ac:dyDescent="0.2">
      <c r="B1032" t="s">
        <v>1086</v>
      </c>
    </row>
    <row r="1033" spans="2:2" x14ac:dyDescent="0.2">
      <c r="B1033" t="s">
        <v>1087</v>
      </c>
    </row>
    <row r="1034" spans="2:2" x14ac:dyDescent="0.2">
      <c r="B1034" t="s">
        <v>1088</v>
      </c>
    </row>
    <row r="1035" spans="2:2" x14ac:dyDescent="0.2">
      <c r="B1035" t="s">
        <v>1089</v>
      </c>
    </row>
    <row r="1036" spans="2:2" x14ac:dyDescent="0.2">
      <c r="B1036" t="s">
        <v>1090</v>
      </c>
    </row>
    <row r="1037" spans="2:2" x14ac:dyDescent="0.2">
      <c r="B1037" t="s">
        <v>1091</v>
      </c>
    </row>
    <row r="1038" spans="2:2" x14ac:dyDescent="0.2">
      <c r="B1038" t="s">
        <v>1092</v>
      </c>
    </row>
    <row r="1039" spans="2:2" x14ac:dyDescent="0.2">
      <c r="B1039" t="s">
        <v>1093</v>
      </c>
    </row>
    <row r="1040" spans="2:2" x14ac:dyDescent="0.2">
      <c r="B1040" t="s">
        <v>1094</v>
      </c>
    </row>
    <row r="1041" spans="2:2" x14ac:dyDescent="0.2">
      <c r="B1041" t="s">
        <v>1095</v>
      </c>
    </row>
    <row r="1042" spans="2:2" x14ac:dyDescent="0.2">
      <c r="B1042" t="s">
        <v>1096</v>
      </c>
    </row>
    <row r="1043" spans="2:2" x14ac:dyDescent="0.2">
      <c r="B1043" t="s">
        <v>1097</v>
      </c>
    </row>
    <row r="1044" spans="2:2" x14ac:dyDescent="0.2">
      <c r="B1044" t="s">
        <v>1098</v>
      </c>
    </row>
    <row r="1045" spans="2:2" x14ac:dyDescent="0.2">
      <c r="B1045" t="s">
        <v>1099</v>
      </c>
    </row>
    <row r="1046" spans="2:2" x14ac:dyDescent="0.2">
      <c r="B1046" t="s">
        <v>1100</v>
      </c>
    </row>
    <row r="1047" spans="2:2" x14ac:dyDescent="0.2">
      <c r="B1047" t="s">
        <v>1101</v>
      </c>
    </row>
    <row r="1048" spans="2:2" x14ac:dyDescent="0.2">
      <c r="B1048" t="s">
        <v>1102</v>
      </c>
    </row>
    <row r="1049" spans="2:2" x14ac:dyDescent="0.2">
      <c r="B1049" t="s">
        <v>1103</v>
      </c>
    </row>
    <row r="1050" spans="2:2" x14ac:dyDescent="0.2">
      <c r="B1050" t="s">
        <v>1104</v>
      </c>
    </row>
    <row r="1051" spans="2:2" x14ac:dyDescent="0.2">
      <c r="B1051" t="s">
        <v>1105</v>
      </c>
    </row>
    <row r="1052" spans="2:2" x14ac:dyDescent="0.2">
      <c r="B1052" t="s">
        <v>1106</v>
      </c>
    </row>
    <row r="1053" spans="2:2" x14ac:dyDescent="0.2">
      <c r="B1053" t="s">
        <v>1107</v>
      </c>
    </row>
    <row r="1054" spans="2:2" x14ac:dyDescent="0.2">
      <c r="B1054" t="s">
        <v>1108</v>
      </c>
    </row>
    <row r="1055" spans="2:2" x14ac:dyDescent="0.2">
      <c r="B1055" t="s">
        <v>1109</v>
      </c>
    </row>
    <row r="1056" spans="2:2" x14ac:dyDescent="0.2">
      <c r="B1056" t="s">
        <v>1110</v>
      </c>
    </row>
    <row r="1057" spans="2:2" x14ac:dyDescent="0.2">
      <c r="B1057" t="s">
        <v>1111</v>
      </c>
    </row>
    <row r="1058" spans="2:2" x14ac:dyDescent="0.2">
      <c r="B1058" t="s">
        <v>1112</v>
      </c>
    </row>
    <row r="1059" spans="2:2" x14ac:dyDescent="0.2">
      <c r="B1059" t="s">
        <v>1113</v>
      </c>
    </row>
    <row r="1060" spans="2:2" x14ac:dyDescent="0.2">
      <c r="B1060" t="s">
        <v>1114</v>
      </c>
    </row>
    <row r="1061" spans="2:2" x14ac:dyDescent="0.2">
      <c r="B1061" t="s">
        <v>1115</v>
      </c>
    </row>
    <row r="1062" spans="2:2" x14ac:dyDescent="0.2">
      <c r="B1062" t="s">
        <v>1116</v>
      </c>
    </row>
    <row r="1063" spans="2:2" x14ac:dyDescent="0.2">
      <c r="B1063" t="s">
        <v>1117</v>
      </c>
    </row>
    <row r="1064" spans="2:2" x14ac:dyDescent="0.2">
      <c r="B1064" t="s">
        <v>1118</v>
      </c>
    </row>
    <row r="1065" spans="2:2" x14ac:dyDescent="0.2">
      <c r="B1065" t="s">
        <v>1119</v>
      </c>
    </row>
    <row r="1066" spans="2:2" x14ac:dyDescent="0.2">
      <c r="B1066" t="s">
        <v>1120</v>
      </c>
    </row>
    <row r="1067" spans="2:2" x14ac:dyDescent="0.2">
      <c r="B1067" t="s">
        <v>1121</v>
      </c>
    </row>
    <row r="1068" spans="2:2" x14ac:dyDescent="0.2">
      <c r="B1068" t="s">
        <v>1122</v>
      </c>
    </row>
    <row r="1069" spans="2:2" x14ac:dyDescent="0.2">
      <c r="B1069" t="s">
        <v>1123</v>
      </c>
    </row>
    <row r="1070" spans="2:2" x14ac:dyDescent="0.2">
      <c r="B1070" t="s">
        <v>1124</v>
      </c>
    </row>
    <row r="1071" spans="2:2" x14ac:dyDescent="0.2">
      <c r="B1071" t="s">
        <v>1125</v>
      </c>
    </row>
    <row r="1072" spans="2:2" x14ac:dyDescent="0.2">
      <c r="B1072" t="s">
        <v>1126</v>
      </c>
    </row>
    <row r="1073" spans="2:2" x14ac:dyDescent="0.2">
      <c r="B1073" t="s">
        <v>1127</v>
      </c>
    </row>
    <row r="1074" spans="2:2" x14ac:dyDescent="0.2">
      <c r="B1074" t="s">
        <v>1128</v>
      </c>
    </row>
    <row r="1075" spans="2:2" x14ac:dyDescent="0.2">
      <c r="B1075" t="s">
        <v>1129</v>
      </c>
    </row>
    <row r="1076" spans="2:2" x14ac:dyDescent="0.2">
      <c r="B1076" t="s">
        <v>1130</v>
      </c>
    </row>
    <row r="1077" spans="2:2" x14ac:dyDescent="0.2">
      <c r="B1077" t="s">
        <v>1131</v>
      </c>
    </row>
    <row r="1078" spans="2:2" x14ac:dyDescent="0.2">
      <c r="B1078" t="s">
        <v>1132</v>
      </c>
    </row>
    <row r="1079" spans="2:2" x14ac:dyDescent="0.2">
      <c r="B1079" t="s">
        <v>1133</v>
      </c>
    </row>
    <row r="1080" spans="2:2" x14ac:dyDescent="0.2">
      <c r="B1080" t="s">
        <v>1134</v>
      </c>
    </row>
    <row r="1081" spans="2:2" x14ac:dyDescent="0.2">
      <c r="B1081" t="s">
        <v>1135</v>
      </c>
    </row>
    <row r="1082" spans="2:2" x14ac:dyDescent="0.2">
      <c r="B1082" t="s">
        <v>1136</v>
      </c>
    </row>
    <row r="1083" spans="2:2" x14ac:dyDescent="0.2">
      <c r="B1083" t="s">
        <v>1137</v>
      </c>
    </row>
    <row r="1084" spans="2:2" x14ac:dyDescent="0.2">
      <c r="B1084" t="s">
        <v>1138</v>
      </c>
    </row>
    <row r="1085" spans="2:2" x14ac:dyDescent="0.2">
      <c r="B1085" t="s">
        <v>1139</v>
      </c>
    </row>
    <row r="1086" spans="2:2" x14ac:dyDescent="0.2">
      <c r="B1086" t="s">
        <v>1140</v>
      </c>
    </row>
    <row r="1087" spans="2:2" x14ac:dyDescent="0.2">
      <c r="B1087" t="s">
        <v>1141</v>
      </c>
    </row>
    <row r="1088" spans="2:2" x14ac:dyDescent="0.2">
      <c r="B1088" t="s">
        <v>1142</v>
      </c>
    </row>
    <row r="1089" spans="2:2" x14ac:dyDescent="0.2">
      <c r="B1089" t="s">
        <v>1143</v>
      </c>
    </row>
    <row r="1090" spans="2:2" x14ac:dyDescent="0.2">
      <c r="B1090" t="s">
        <v>1144</v>
      </c>
    </row>
    <row r="1091" spans="2:2" x14ac:dyDescent="0.2">
      <c r="B1091" t="s">
        <v>1145</v>
      </c>
    </row>
    <row r="1092" spans="2:2" x14ac:dyDescent="0.2">
      <c r="B1092" t="s">
        <v>1146</v>
      </c>
    </row>
    <row r="1093" spans="2:2" x14ac:dyDescent="0.2">
      <c r="B1093" t="s">
        <v>1147</v>
      </c>
    </row>
    <row r="1094" spans="2:2" x14ac:dyDescent="0.2">
      <c r="B1094" t="s">
        <v>1148</v>
      </c>
    </row>
    <row r="1095" spans="2:2" x14ac:dyDescent="0.2">
      <c r="B1095" t="s">
        <v>1149</v>
      </c>
    </row>
    <row r="1096" spans="2:2" x14ac:dyDescent="0.2">
      <c r="B1096" t="s">
        <v>1150</v>
      </c>
    </row>
    <row r="1097" spans="2:2" x14ac:dyDescent="0.2">
      <c r="B1097" t="s">
        <v>1151</v>
      </c>
    </row>
    <row r="1098" spans="2:2" x14ac:dyDescent="0.2">
      <c r="B1098" t="s">
        <v>1152</v>
      </c>
    </row>
    <row r="1099" spans="2:2" x14ac:dyDescent="0.2">
      <c r="B1099" t="s">
        <v>1153</v>
      </c>
    </row>
    <row r="1100" spans="2:2" x14ac:dyDescent="0.2">
      <c r="B1100" t="s">
        <v>1154</v>
      </c>
    </row>
    <row r="1101" spans="2:2" x14ac:dyDescent="0.2">
      <c r="B1101" t="s">
        <v>1155</v>
      </c>
    </row>
    <row r="1102" spans="2:2" x14ac:dyDescent="0.2">
      <c r="B1102" t="s">
        <v>1156</v>
      </c>
    </row>
    <row r="1103" spans="2:2" x14ac:dyDescent="0.2">
      <c r="B1103" t="s">
        <v>1157</v>
      </c>
    </row>
    <row r="1104" spans="2:2" x14ac:dyDescent="0.2">
      <c r="B1104" t="s">
        <v>1158</v>
      </c>
    </row>
    <row r="1105" spans="2:2" x14ac:dyDescent="0.2">
      <c r="B1105" t="s">
        <v>1159</v>
      </c>
    </row>
    <row r="1106" spans="2:2" x14ac:dyDescent="0.2">
      <c r="B1106" t="s">
        <v>1160</v>
      </c>
    </row>
    <row r="1107" spans="2:2" x14ac:dyDescent="0.2">
      <c r="B1107" t="s">
        <v>1161</v>
      </c>
    </row>
    <row r="1108" spans="2:2" x14ac:dyDescent="0.2">
      <c r="B1108" t="s">
        <v>1162</v>
      </c>
    </row>
    <row r="1109" spans="2:2" x14ac:dyDescent="0.2">
      <c r="B1109" t="s">
        <v>1163</v>
      </c>
    </row>
    <row r="1110" spans="2:2" x14ac:dyDescent="0.2">
      <c r="B1110" t="s">
        <v>1164</v>
      </c>
    </row>
    <row r="1111" spans="2:2" x14ac:dyDescent="0.2">
      <c r="B1111" t="s">
        <v>1165</v>
      </c>
    </row>
    <row r="1112" spans="2:2" x14ac:dyDescent="0.2">
      <c r="B1112" t="s">
        <v>1166</v>
      </c>
    </row>
    <row r="1113" spans="2:2" x14ac:dyDescent="0.2">
      <c r="B1113" t="s">
        <v>1167</v>
      </c>
    </row>
    <row r="1114" spans="2:2" x14ac:dyDescent="0.2">
      <c r="B1114" t="s">
        <v>1168</v>
      </c>
    </row>
    <row r="1115" spans="2:2" x14ac:dyDescent="0.2">
      <c r="B1115" t="s">
        <v>1169</v>
      </c>
    </row>
    <row r="1116" spans="2:2" x14ac:dyDescent="0.2">
      <c r="B1116" t="s">
        <v>1170</v>
      </c>
    </row>
    <row r="1117" spans="2:2" x14ac:dyDescent="0.2">
      <c r="B1117" t="s">
        <v>1171</v>
      </c>
    </row>
    <row r="1118" spans="2:2" x14ac:dyDescent="0.2">
      <c r="B1118" t="s">
        <v>1172</v>
      </c>
    </row>
    <row r="1119" spans="2:2" x14ac:dyDescent="0.2">
      <c r="B1119" t="s">
        <v>1173</v>
      </c>
    </row>
    <row r="1120" spans="2:2" x14ac:dyDescent="0.2">
      <c r="B1120" t="s">
        <v>1174</v>
      </c>
    </row>
    <row r="1121" spans="2:2" x14ac:dyDescent="0.2">
      <c r="B1121" t="s">
        <v>1175</v>
      </c>
    </row>
    <row r="1122" spans="2:2" x14ac:dyDescent="0.2">
      <c r="B1122" t="s">
        <v>1176</v>
      </c>
    </row>
    <row r="1123" spans="2:2" x14ac:dyDescent="0.2">
      <c r="B1123" t="s">
        <v>1177</v>
      </c>
    </row>
    <row r="1124" spans="2:2" x14ac:dyDescent="0.2">
      <c r="B1124" t="s">
        <v>1178</v>
      </c>
    </row>
    <row r="1125" spans="2:2" x14ac:dyDescent="0.2">
      <c r="B1125" t="s">
        <v>1179</v>
      </c>
    </row>
    <row r="1126" spans="2:2" x14ac:dyDescent="0.2">
      <c r="B1126" t="s">
        <v>1180</v>
      </c>
    </row>
    <row r="1127" spans="2:2" x14ac:dyDescent="0.2">
      <c r="B1127" t="s">
        <v>1181</v>
      </c>
    </row>
    <row r="1128" spans="2:2" x14ac:dyDescent="0.2">
      <c r="B1128" t="s">
        <v>1182</v>
      </c>
    </row>
    <row r="1129" spans="2:2" x14ac:dyDescent="0.2">
      <c r="B1129" t="s">
        <v>1183</v>
      </c>
    </row>
    <row r="1130" spans="2:2" x14ac:dyDescent="0.2">
      <c r="B1130" t="s">
        <v>1184</v>
      </c>
    </row>
    <row r="1131" spans="2:2" x14ac:dyDescent="0.2">
      <c r="B1131" t="s">
        <v>1185</v>
      </c>
    </row>
    <row r="1132" spans="2:2" x14ac:dyDescent="0.2">
      <c r="B1132" t="s">
        <v>1186</v>
      </c>
    </row>
    <row r="1133" spans="2:2" x14ac:dyDescent="0.2">
      <c r="B1133" t="s">
        <v>1187</v>
      </c>
    </row>
    <row r="1134" spans="2:2" x14ac:dyDescent="0.2">
      <c r="B1134" t="s">
        <v>1188</v>
      </c>
    </row>
    <row r="1135" spans="2:2" x14ac:dyDescent="0.2">
      <c r="B1135" t="s">
        <v>1189</v>
      </c>
    </row>
    <row r="1136" spans="2:2" x14ac:dyDescent="0.2">
      <c r="B1136" t="s">
        <v>1190</v>
      </c>
    </row>
    <row r="1137" spans="2:2" x14ac:dyDescent="0.2">
      <c r="B1137" t="s">
        <v>1191</v>
      </c>
    </row>
    <row r="1138" spans="2:2" x14ac:dyDescent="0.2">
      <c r="B1138" t="s">
        <v>1192</v>
      </c>
    </row>
    <row r="1139" spans="2:2" x14ac:dyDescent="0.2">
      <c r="B1139" t="s">
        <v>1193</v>
      </c>
    </row>
    <row r="1140" spans="2:2" x14ac:dyDescent="0.2">
      <c r="B1140" t="s">
        <v>1194</v>
      </c>
    </row>
    <row r="1141" spans="2:2" x14ac:dyDescent="0.2">
      <c r="B1141" t="s">
        <v>1195</v>
      </c>
    </row>
    <row r="1142" spans="2:2" x14ac:dyDescent="0.2">
      <c r="B1142" t="s">
        <v>1196</v>
      </c>
    </row>
    <row r="1143" spans="2:2" x14ac:dyDescent="0.2">
      <c r="B1143" t="s">
        <v>1197</v>
      </c>
    </row>
    <row r="1144" spans="2:2" x14ac:dyDescent="0.2">
      <c r="B1144" t="s">
        <v>1198</v>
      </c>
    </row>
    <row r="1145" spans="2:2" x14ac:dyDescent="0.2">
      <c r="B1145" t="s">
        <v>1199</v>
      </c>
    </row>
    <row r="1146" spans="2:2" x14ac:dyDescent="0.2">
      <c r="B1146" t="s">
        <v>1200</v>
      </c>
    </row>
    <row r="1147" spans="2:2" x14ac:dyDescent="0.2">
      <c r="B1147" t="s">
        <v>1201</v>
      </c>
    </row>
    <row r="1148" spans="2:2" x14ac:dyDescent="0.2">
      <c r="B1148" t="s">
        <v>1202</v>
      </c>
    </row>
    <row r="1149" spans="2:2" x14ac:dyDescent="0.2">
      <c r="B1149" t="s">
        <v>1203</v>
      </c>
    </row>
    <row r="1150" spans="2:2" x14ac:dyDescent="0.2">
      <c r="B1150" t="s">
        <v>1204</v>
      </c>
    </row>
    <row r="1151" spans="2:2" x14ac:dyDescent="0.2">
      <c r="B1151" t="s">
        <v>1205</v>
      </c>
    </row>
    <row r="1152" spans="2:2" x14ac:dyDescent="0.2">
      <c r="B1152" t="s">
        <v>1206</v>
      </c>
    </row>
    <row r="1153" spans="2:2" x14ac:dyDescent="0.2">
      <c r="B1153" t="s">
        <v>1207</v>
      </c>
    </row>
    <row r="1154" spans="2:2" x14ac:dyDescent="0.2">
      <c r="B1154" t="s">
        <v>1208</v>
      </c>
    </row>
    <row r="1155" spans="2:2" x14ac:dyDescent="0.2">
      <c r="B1155" t="s">
        <v>1209</v>
      </c>
    </row>
    <row r="1156" spans="2:2" x14ac:dyDescent="0.2">
      <c r="B1156" t="s">
        <v>1210</v>
      </c>
    </row>
    <row r="1157" spans="2:2" x14ac:dyDescent="0.2">
      <c r="B1157" t="s">
        <v>1211</v>
      </c>
    </row>
    <row r="1158" spans="2:2" x14ac:dyDescent="0.2">
      <c r="B1158" t="s">
        <v>1212</v>
      </c>
    </row>
    <row r="1159" spans="2:2" x14ac:dyDescent="0.2">
      <c r="B1159" t="s">
        <v>1213</v>
      </c>
    </row>
    <row r="1160" spans="2:2" x14ac:dyDescent="0.2">
      <c r="B1160" t="s">
        <v>1214</v>
      </c>
    </row>
    <row r="1161" spans="2:2" x14ac:dyDescent="0.2">
      <c r="B1161" t="s">
        <v>1215</v>
      </c>
    </row>
    <row r="1162" spans="2:2" x14ac:dyDescent="0.2">
      <c r="B1162" t="s">
        <v>1216</v>
      </c>
    </row>
    <row r="1163" spans="2:2" x14ac:dyDescent="0.2">
      <c r="B1163" t="s">
        <v>1217</v>
      </c>
    </row>
    <row r="1164" spans="2:2" x14ac:dyDescent="0.2">
      <c r="B1164" t="s">
        <v>1218</v>
      </c>
    </row>
    <row r="1165" spans="2:2" x14ac:dyDescent="0.2">
      <c r="B1165" t="s">
        <v>1219</v>
      </c>
    </row>
    <row r="1166" spans="2:2" x14ac:dyDescent="0.2">
      <c r="B1166" t="s">
        <v>1220</v>
      </c>
    </row>
    <row r="1167" spans="2:2" x14ac:dyDescent="0.2">
      <c r="B1167" t="s">
        <v>1221</v>
      </c>
    </row>
    <row r="1168" spans="2:2" x14ac:dyDescent="0.2">
      <c r="B1168" t="s">
        <v>1222</v>
      </c>
    </row>
    <row r="1169" spans="2:2" x14ac:dyDescent="0.2">
      <c r="B1169" t="s">
        <v>1223</v>
      </c>
    </row>
    <row r="1170" spans="2:2" x14ac:dyDescent="0.2">
      <c r="B1170" t="s">
        <v>1224</v>
      </c>
    </row>
    <row r="1171" spans="2:2" x14ac:dyDescent="0.2">
      <c r="B1171" t="s">
        <v>1225</v>
      </c>
    </row>
    <row r="1172" spans="2:2" x14ac:dyDescent="0.2">
      <c r="B1172" t="s">
        <v>1226</v>
      </c>
    </row>
    <row r="1173" spans="2:2" x14ac:dyDescent="0.2">
      <c r="B1173" t="s">
        <v>1227</v>
      </c>
    </row>
    <row r="1174" spans="2:2" x14ac:dyDescent="0.2">
      <c r="B1174" t="s">
        <v>1228</v>
      </c>
    </row>
    <row r="1175" spans="2:2" x14ac:dyDescent="0.2">
      <c r="B1175" t="s">
        <v>1229</v>
      </c>
    </row>
    <row r="1176" spans="2:2" x14ac:dyDescent="0.2">
      <c r="B1176" t="s">
        <v>1230</v>
      </c>
    </row>
    <row r="1177" spans="2:2" x14ac:dyDescent="0.2">
      <c r="B1177" t="s">
        <v>1231</v>
      </c>
    </row>
    <row r="1178" spans="2:2" x14ac:dyDescent="0.2">
      <c r="B1178" t="s">
        <v>1232</v>
      </c>
    </row>
    <row r="1179" spans="2:2" x14ac:dyDescent="0.2">
      <c r="B1179" t="s">
        <v>1233</v>
      </c>
    </row>
    <row r="1180" spans="2:2" x14ac:dyDescent="0.2">
      <c r="B1180" t="s">
        <v>1234</v>
      </c>
    </row>
    <row r="1181" spans="2:2" x14ac:dyDescent="0.2">
      <c r="B1181" t="s">
        <v>1235</v>
      </c>
    </row>
    <row r="1182" spans="2:2" x14ac:dyDescent="0.2">
      <c r="B1182" t="s">
        <v>1236</v>
      </c>
    </row>
    <row r="1183" spans="2:2" x14ac:dyDescent="0.2">
      <c r="B1183" t="s">
        <v>1237</v>
      </c>
    </row>
    <row r="1184" spans="2:2" x14ac:dyDescent="0.2">
      <c r="B1184" t="s">
        <v>1238</v>
      </c>
    </row>
    <row r="1185" spans="2:2" x14ac:dyDescent="0.2">
      <c r="B1185" t="s">
        <v>1239</v>
      </c>
    </row>
    <row r="1186" spans="2:2" x14ac:dyDescent="0.2">
      <c r="B1186" t="s">
        <v>1240</v>
      </c>
    </row>
    <row r="1187" spans="2:2" x14ac:dyDescent="0.2">
      <c r="B1187" t="s">
        <v>1241</v>
      </c>
    </row>
    <row r="1188" spans="2:2" x14ac:dyDescent="0.2">
      <c r="B1188" t="s">
        <v>1242</v>
      </c>
    </row>
    <row r="1189" spans="2:2" x14ac:dyDescent="0.2">
      <c r="B1189" t="s">
        <v>1243</v>
      </c>
    </row>
    <row r="1190" spans="2:2" x14ac:dyDescent="0.2">
      <c r="B1190" t="s">
        <v>1244</v>
      </c>
    </row>
    <row r="1191" spans="2:2" x14ac:dyDescent="0.2">
      <c r="B1191" t="s">
        <v>1245</v>
      </c>
    </row>
    <row r="1192" spans="2:2" x14ac:dyDescent="0.2">
      <c r="B1192" t="s">
        <v>1246</v>
      </c>
    </row>
    <row r="1193" spans="2:2" x14ac:dyDescent="0.2">
      <c r="B1193" t="s">
        <v>1247</v>
      </c>
    </row>
    <row r="1194" spans="2:2" x14ac:dyDescent="0.2">
      <c r="B1194" t="s">
        <v>1248</v>
      </c>
    </row>
    <row r="1195" spans="2:2" x14ac:dyDescent="0.2">
      <c r="B1195" t="s">
        <v>1249</v>
      </c>
    </row>
    <row r="1196" spans="2:2" x14ac:dyDescent="0.2">
      <c r="B1196" t="s">
        <v>1250</v>
      </c>
    </row>
    <row r="1197" spans="2:2" x14ac:dyDescent="0.2">
      <c r="B1197" t="s">
        <v>1251</v>
      </c>
    </row>
    <row r="1198" spans="2:2" x14ac:dyDescent="0.2">
      <c r="B1198" t="s">
        <v>1252</v>
      </c>
    </row>
    <row r="1199" spans="2:2" x14ac:dyDescent="0.2">
      <c r="B1199" t="s">
        <v>1253</v>
      </c>
    </row>
    <row r="1200" spans="2:2" x14ac:dyDescent="0.2">
      <c r="B1200" t="s">
        <v>1254</v>
      </c>
    </row>
    <row r="1201" spans="2:2" x14ac:dyDescent="0.2">
      <c r="B1201" t="s">
        <v>1255</v>
      </c>
    </row>
    <row r="1202" spans="2:2" x14ac:dyDescent="0.2">
      <c r="B1202" t="s">
        <v>1256</v>
      </c>
    </row>
    <row r="1203" spans="2:2" x14ac:dyDescent="0.2">
      <c r="B1203" t="s">
        <v>1257</v>
      </c>
    </row>
    <row r="1204" spans="2:2" x14ac:dyDescent="0.2">
      <c r="B1204" t="s">
        <v>1258</v>
      </c>
    </row>
    <row r="1205" spans="2:2" x14ac:dyDescent="0.2">
      <c r="B1205" t="s">
        <v>1259</v>
      </c>
    </row>
    <row r="1206" spans="2:2" x14ac:dyDescent="0.2">
      <c r="B1206" t="s">
        <v>1260</v>
      </c>
    </row>
    <row r="1207" spans="2:2" x14ac:dyDescent="0.2">
      <c r="B1207" t="s">
        <v>1261</v>
      </c>
    </row>
    <row r="1208" spans="2:2" x14ac:dyDescent="0.2">
      <c r="B1208" t="s">
        <v>1262</v>
      </c>
    </row>
    <row r="1209" spans="2:2" x14ac:dyDescent="0.2">
      <c r="B1209" t="s">
        <v>1263</v>
      </c>
    </row>
    <row r="1210" spans="2:2" x14ac:dyDescent="0.2">
      <c r="B1210" t="s">
        <v>1264</v>
      </c>
    </row>
    <row r="1211" spans="2:2" x14ac:dyDescent="0.2">
      <c r="B1211" t="s">
        <v>1265</v>
      </c>
    </row>
    <row r="1212" spans="2:2" x14ac:dyDescent="0.2">
      <c r="B1212" t="s">
        <v>1266</v>
      </c>
    </row>
    <row r="1213" spans="2:2" x14ac:dyDescent="0.2">
      <c r="B1213" t="s">
        <v>1267</v>
      </c>
    </row>
    <row r="1214" spans="2:2" x14ac:dyDescent="0.2">
      <c r="B1214" t="s">
        <v>1268</v>
      </c>
    </row>
    <row r="1215" spans="2:2" x14ac:dyDescent="0.2">
      <c r="B1215" t="s">
        <v>1269</v>
      </c>
    </row>
    <row r="1216" spans="2:2" x14ac:dyDescent="0.2">
      <c r="B1216" t="s">
        <v>1270</v>
      </c>
    </row>
    <row r="1217" spans="2:2" x14ac:dyDescent="0.2">
      <c r="B1217" t="s">
        <v>1271</v>
      </c>
    </row>
    <row r="1218" spans="2:2" x14ac:dyDescent="0.2">
      <c r="B1218" t="s">
        <v>1272</v>
      </c>
    </row>
    <row r="1219" spans="2:2" x14ac:dyDescent="0.2">
      <c r="B1219" t="s">
        <v>1273</v>
      </c>
    </row>
    <row r="1220" spans="2:2" x14ac:dyDescent="0.2">
      <c r="B1220" t="s">
        <v>1274</v>
      </c>
    </row>
    <row r="1221" spans="2:2" x14ac:dyDescent="0.2">
      <c r="B1221" t="s">
        <v>1275</v>
      </c>
    </row>
    <row r="1222" spans="2:2" x14ac:dyDescent="0.2">
      <c r="B1222" t="s">
        <v>1276</v>
      </c>
    </row>
    <row r="1223" spans="2:2" x14ac:dyDescent="0.2">
      <c r="B1223" t="s">
        <v>1277</v>
      </c>
    </row>
    <row r="1224" spans="2:2" x14ac:dyDescent="0.2">
      <c r="B1224" t="s">
        <v>1278</v>
      </c>
    </row>
    <row r="1225" spans="2:2" x14ac:dyDescent="0.2">
      <c r="B1225" t="s">
        <v>1279</v>
      </c>
    </row>
    <row r="1226" spans="2:2" x14ac:dyDescent="0.2">
      <c r="B1226" t="s">
        <v>1280</v>
      </c>
    </row>
    <row r="1227" spans="2:2" x14ac:dyDescent="0.2">
      <c r="B1227" t="s">
        <v>1281</v>
      </c>
    </row>
    <row r="1228" spans="2:2" x14ac:dyDescent="0.2">
      <c r="B1228" t="s">
        <v>1282</v>
      </c>
    </row>
    <row r="1229" spans="2:2" x14ac:dyDescent="0.2">
      <c r="B1229" t="s">
        <v>1283</v>
      </c>
    </row>
    <row r="1230" spans="2:2" x14ac:dyDescent="0.2">
      <c r="B1230" t="s">
        <v>1284</v>
      </c>
    </row>
    <row r="1231" spans="2:2" x14ac:dyDescent="0.2">
      <c r="B1231" t="s">
        <v>1285</v>
      </c>
    </row>
    <row r="1232" spans="2:2" x14ac:dyDescent="0.2">
      <c r="B1232" t="s">
        <v>1286</v>
      </c>
    </row>
    <row r="1233" spans="2:2" x14ac:dyDescent="0.2">
      <c r="B1233" t="s">
        <v>1287</v>
      </c>
    </row>
    <row r="1234" spans="2:2" x14ac:dyDescent="0.2">
      <c r="B1234" t="s">
        <v>1288</v>
      </c>
    </row>
    <row r="1235" spans="2:2" x14ac:dyDescent="0.2">
      <c r="B1235" t="s">
        <v>1289</v>
      </c>
    </row>
    <row r="1236" spans="2:2" x14ac:dyDescent="0.2">
      <c r="B1236" t="s">
        <v>1290</v>
      </c>
    </row>
    <row r="1237" spans="2:2" x14ac:dyDescent="0.2">
      <c r="B1237" t="s">
        <v>1291</v>
      </c>
    </row>
    <row r="1238" spans="2:2" x14ac:dyDescent="0.2">
      <c r="B1238" t="s">
        <v>1292</v>
      </c>
    </row>
    <row r="1239" spans="2:2" x14ac:dyDescent="0.2">
      <c r="B1239" t="s">
        <v>1293</v>
      </c>
    </row>
    <row r="1240" spans="2:2" x14ac:dyDescent="0.2">
      <c r="B1240" t="s">
        <v>1294</v>
      </c>
    </row>
    <row r="1241" spans="2:2" x14ac:dyDescent="0.2">
      <c r="B1241" t="s">
        <v>1295</v>
      </c>
    </row>
    <row r="1242" spans="2:2" x14ac:dyDescent="0.2">
      <c r="B1242" t="s">
        <v>1296</v>
      </c>
    </row>
    <row r="1243" spans="2:2" x14ac:dyDescent="0.2">
      <c r="B1243" t="s">
        <v>1297</v>
      </c>
    </row>
    <row r="1244" spans="2:2" x14ac:dyDescent="0.2">
      <c r="B1244" t="s">
        <v>1298</v>
      </c>
    </row>
    <row r="1245" spans="2:2" x14ac:dyDescent="0.2">
      <c r="B1245" t="s">
        <v>1299</v>
      </c>
    </row>
    <row r="1246" spans="2:2" x14ac:dyDescent="0.2">
      <c r="B1246" t="s">
        <v>1300</v>
      </c>
    </row>
    <row r="1247" spans="2:2" x14ac:dyDescent="0.2">
      <c r="B1247" t="s">
        <v>1301</v>
      </c>
    </row>
    <row r="1248" spans="2:2" x14ac:dyDescent="0.2">
      <c r="B1248" t="s">
        <v>1302</v>
      </c>
    </row>
    <row r="1249" spans="2:2" x14ac:dyDescent="0.2">
      <c r="B1249" t="s">
        <v>1303</v>
      </c>
    </row>
    <row r="1250" spans="2:2" x14ac:dyDescent="0.2">
      <c r="B1250" t="s">
        <v>1304</v>
      </c>
    </row>
    <row r="1251" spans="2:2" x14ac:dyDescent="0.2">
      <c r="B1251" t="s">
        <v>1305</v>
      </c>
    </row>
    <row r="1252" spans="2:2" x14ac:dyDescent="0.2">
      <c r="B1252" t="s">
        <v>1306</v>
      </c>
    </row>
    <row r="1253" spans="2:2" x14ac:dyDescent="0.2">
      <c r="B1253" t="s">
        <v>1307</v>
      </c>
    </row>
    <row r="1254" spans="2:2" x14ac:dyDescent="0.2">
      <c r="B1254" t="s">
        <v>1308</v>
      </c>
    </row>
    <row r="1255" spans="2:2" x14ac:dyDescent="0.2">
      <c r="B1255" t="s">
        <v>1309</v>
      </c>
    </row>
    <row r="1256" spans="2:2" x14ac:dyDescent="0.2">
      <c r="B1256" t="s">
        <v>1310</v>
      </c>
    </row>
    <row r="1257" spans="2:2" x14ac:dyDescent="0.2">
      <c r="B1257" t="s">
        <v>1311</v>
      </c>
    </row>
    <row r="1258" spans="2:2" x14ac:dyDescent="0.2">
      <c r="B1258" t="s">
        <v>1312</v>
      </c>
    </row>
    <row r="1259" spans="2:2" x14ac:dyDescent="0.2">
      <c r="B1259" t="s">
        <v>1313</v>
      </c>
    </row>
    <row r="1260" spans="2:2" x14ac:dyDescent="0.2">
      <c r="B1260" t="s">
        <v>1314</v>
      </c>
    </row>
    <row r="1261" spans="2:2" x14ac:dyDescent="0.2">
      <c r="B1261" t="s">
        <v>1315</v>
      </c>
    </row>
    <row r="1262" spans="2:2" x14ac:dyDescent="0.2">
      <c r="B1262" t="s">
        <v>1316</v>
      </c>
    </row>
    <row r="1263" spans="2:2" x14ac:dyDescent="0.2">
      <c r="B1263" t="s">
        <v>1317</v>
      </c>
    </row>
    <row r="1264" spans="2:2" x14ac:dyDescent="0.2">
      <c r="B1264" t="s">
        <v>1318</v>
      </c>
    </row>
    <row r="1265" spans="2:2" x14ac:dyDescent="0.2">
      <c r="B1265" t="s">
        <v>1319</v>
      </c>
    </row>
    <row r="1266" spans="2:2" x14ac:dyDescent="0.2">
      <c r="B1266" t="s">
        <v>1320</v>
      </c>
    </row>
    <row r="1267" spans="2:2" x14ac:dyDescent="0.2">
      <c r="B1267" t="s">
        <v>1321</v>
      </c>
    </row>
    <row r="1268" spans="2:2" x14ac:dyDescent="0.2">
      <c r="B1268" t="s">
        <v>1322</v>
      </c>
    </row>
    <row r="1269" spans="2:2" x14ac:dyDescent="0.2">
      <c r="B1269" t="s">
        <v>1323</v>
      </c>
    </row>
    <row r="1270" spans="2:2" x14ac:dyDescent="0.2">
      <c r="B1270" t="s">
        <v>1324</v>
      </c>
    </row>
    <row r="1271" spans="2:2" x14ac:dyDescent="0.2">
      <c r="B1271" t="s">
        <v>1325</v>
      </c>
    </row>
    <row r="1272" spans="2:2" x14ac:dyDescent="0.2">
      <c r="B1272" t="s">
        <v>1326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5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1327</v>
      </c>
    </row>
    <row r="3" spans="1:2" x14ac:dyDescent="0.2">
      <c r="B3" t="s">
        <v>1328</v>
      </c>
    </row>
    <row r="4" spans="1:2" x14ac:dyDescent="0.2">
      <c r="B4" t="s">
        <v>1329</v>
      </c>
    </row>
    <row r="5" spans="1:2" x14ac:dyDescent="0.2">
      <c r="B5" t="s">
        <v>1330</v>
      </c>
    </row>
    <row r="6" spans="1:2" x14ac:dyDescent="0.2">
      <c r="B6" t="s">
        <v>1331</v>
      </c>
    </row>
    <row r="7" spans="1:2" x14ac:dyDescent="0.2">
      <c r="B7" t="s">
        <v>1332</v>
      </c>
    </row>
    <row r="8" spans="1:2" x14ac:dyDescent="0.2">
      <c r="B8" t="s">
        <v>1333</v>
      </c>
    </row>
    <row r="9" spans="1:2" x14ac:dyDescent="0.2">
      <c r="B9" t="s">
        <v>1334</v>
      </c>
    </row>
    <row r="10" spans="1:2" x14ac:dyDescent="0.2">
      <c r="B10" t="s">
        <v>1335</v>
      </c>
    </row>
    <row r="11" spans="1:2" x14ac:dyDescent="0.2">
      <c r="B11" t="s">
        <v>1336</v>
      </c>
    </row>
    <row r="12" spans="1:2" x14ac:dyDescent="0.2">
      <c r="B12" t="s">
        <v>1337</v>
      </c>
    </row>
    <row r="13" spans="1:2" x14ac:dyDescent="0.2">
      <c r="B13" t="s">
        <v>1338</v>
      </c>
    </row>
    <row r="14" spans="1:2" x14ac:dyDescent="0.2">
      <c r="B14" t="s">
        <v>1339</v>
      </c>
    </row>
    <row r="15" spans="1:2" x14ac:dyDescent="0.2">
      <c r="B15" t="s">
        <v>1340</v>
      </c>
    </row>
    <row r="16" spans="1:2" x14ac:dyDescent="0.2">
      <c r="B16" t="s">
        <v>1341</v>
      </c>
    </row>
    <row r="17" spans="2:2" x14ac:dyDescent="0.2">
      <c r="B17" t="s">
        <v>1342</v>
      </c>
    </row>
    <row r="18" spans="2:2" x14ac:dyDescent="0.2">
      <c r="B18" t="s">
        <v>1343</v>
      </c>
    </row>
    <row r="19" spans="2:2" x14ac:dyDescent="0.2">
      <c r="B19" t="s">
        <v>1344</v>
      </c>
    </row>
    <row r="20" spans="2:2" x14ac:dyDescent="0.2">
      <c r="B20" t="s">
        <v>1345</v>
      </c>
    </row>
    <row r="21" spans="2:2" x14ac:dyDescent="0.2">
      <c r="B21" t="s">
        <v>1346</v>
      </c>
    </row>
    <row r="22" spans="2:2" x14ac:dyDescent="0.2">
      <c r="B22" t="s">
        <v>1347</v>
      </c>
    </row>
    <row r="23" spans="2:2" x14ac:dyDescent="0.2">
      <c r="B23" t="s">
        <v>1348</v>
      </c>
    </row>
    <row r="24" spans="2:2" x14ac:dyDescent="0.2">
      <c r="B24" t="s">
        <v>1349</v>
      </c>
    </row>
    <row r="25" spans="2:2" x14ac:dyDescent="0.2">
      <c r="B25" t="s">
        <v>1350</v>
      </c>
    </row>
    <row r="26" spans="2:2" x14ac:dyDescent="0.2">
      <c r="B26" t="s">
        <v>1351</v>
      </c>
    </row>
    <row r="27" spans="2:2" x14ac:dyDescent="0.2">
      <c r="B27" t="s">
        <v>1352</v>
      </c>
    </row>
    <row r="28" spans="2:2" x14ac:dyDescent="0.2">
      <c r="B28" t="s">
        <v>1353</v>
      </c>
    </row>
    <row r="29" spans="2:2" x14ac:dyDescent="0.2">
      <c r="B29" t="s">
        <v>1354</v>
      </c>
    </row>
    <row r="30" spans="2:2" x14ac:dyDescent="0.2">
      <c r="B30" t="s">
        <v>1355</v>
      </c>
    </row>
    <row r="31" spans="2:2" x14ac:dyDescent="0.2">
      <c r="B31" t="s">
        <v>1356</v>
      </c>
    </row>
    <row r="32" spans="2:2" x14ac:dyDescent="0.2">
      <c r="B32" t="s">
        <v>1357</v>
      </c>
    </row>
    <row r="33" spans="2:2" x14ac:dyDescent="0.2">
      <c r="B33" t="s">
        <v>1358</v>
      </c>
    </row>
    <row r="34" spans="2:2" x14ac:dyDescent="0.2">
      <c r="B34" t="s">
        <v>1359</v>
      </c>
    </row>
    <row r="35" spans="2:2" x14ac:dyDescent="0.2">
      <c r="B35" t="s">
        <v>1360</v>
      </c>
    </row>
    <row r="36" spans="2:2" x14ac:dyDescent="0.2">
      <c r="B36" t="s">
        <v>1361</v>
      </c>
    </row>
    <row r="37" spans="2:2" x14ac:dyDescent="0.2">
      <c r="B37" t="s">
        <v>1362</v>
      </c>
    </row>
    <row r="38" spans="2:2" x14ac:dyDescent="0.2">
      <c r="B38" t="s">
        <v>1363</v>
      </c>
    </row>
    <row r="39" spans="2:2" x14ac:dyDescent="0.2">
      <c r="B39" t="s">
        <v>1364</v>
      </c>
    </row>
    <row r="40" spans="2:2" x14ac:dyDescent="0.2">
      <c r="B40" t="s">
        <v>1365</v>
      </c>
    </row>
    <row r="41" spans="2:2" x14ac:dyDescent="0.2">
      <c r="B41" t="s">
        <v>1366</v>
      </c>
    </row>
    <row r="42" spans="2:2" x14ac:dyDescent="0.2">
      <c r="B42" t="s">
        <v>1367</v>
      </c>
    </row>
    <row r="43" spans="2:2" x14ac:dyDescent="0.2">
      <c r="B43" t="s">
        <v>1368</v>
      </c>
    </row>
    <row r="44" spans="2:2" x14ac:dyDescent="0.2">
      <c r="B44" t="s">
        <v>1369</v>
      </c>
    </row>
    <row r="45" spans="2:2" x14ac:dyDescent="0.2">
      <c r="B45" t="s">
        <v>1370</v>
      </c>
    </row>
    <row r="46" spans="2:2" x14ac:dyDescent="0.2">
      <c r="B46" t="s">
        <v>1371</v>
      </c>
    </row>
    <row r="47" spans="2:2" x14ac:dyDescent="0.2">
      <c r="B47" t="s">
        <v>1372</v>
      </c>
    </row>
    <row r="48" spans="2:2" x14ac:dyDescent="0.2">
      <c r="B48" t="s">
        <v>1373</v>
      </c>
    </row>
    <row r="49" spans="2:2" x14ac:dyDescent="0.2">
      <c r="B49" t="s">
        <v>1374</v>
      </c>
    </row>
    <row r="50" spans="2:2" x14ac:dyDescent="0.2">
      <c r="B50" t="s">
        <v>1375</v>
      </c>
    </row>
    <row r="51" spans="2:2" x14ac:dyDescent="0.2">
      <c r="B51" t="s">
        <v>1376</v>
      </c>
    </row>
    <row r="52" spans="2:2" x14ac:dyDescent="0.2">
      <c r="B52" t="s">
        <v>1377</v>
      </c>
    </row>
    <row r="53" spans="2:2" x14ac:dyDescent="0.2">
      <c r="B53" t="s">
        <v>1378</v>
      </c>
    </row>
    <row r="54" spans="2:2" x14ac:dyDescent="0.2">
      <c r="B54" t="s">
        <v>1379</v>
      </c>
    </row>
    <row r="55" spans="2:2" x14ac:dyDescent="0.2">
      <c r="B55" t="s">
        <v>1380</v>
      </c>
    </row>
    <row r="56" spans="2:2" x14ac:dyDescent="0.2">
      <c r="B56" t="s">
        <v>1381</v>
      </c>
    </row>
    <row r="57" spans="2:2" x14ac:dyDescent="0.2">
      <c r="B57" t="s">
        <v>1382</v>
      </c>
    </row>
    <row r="58" spans="2:2" x14ac:dyDescent="0.2">
      <c r="B58" t="s">
        <v>1383</v>
      </c>
    </row>
    <row r="59" spans="2:2" x14ac:dyDescent="0.2">
      <c r="B59" t="s">
        <v>1384</v>
      </c>
    </row>
    <row r="60" spans="2:2" x14ac:dyDescent="0.2">
      <c r="B60" t="s">
        <v>1385</v>
      </c>
    </row>
    <row r="61" spans="2:2" x14ac:dyDescent="0.2">
      <c r="B61" t="s">
        <v>1386</v>
      </c>
    </row>
    <row r="62" spans="2:2" x14ac:dyDescent="0.2">
      <c r="B62" t="s">
        <v>1387</v>
      </c>
    </row>
    <row r="63" spans="2:2" x14ac:dyDescent="0.2">
      <c r="B63" t="s">
        <v>1388</v>
      </c>
    </row>
    <row r="64" spans="2:2" x14ac:dyDescent="0.2">
      <c r="B64" t="s">
        <v>1389</v>
      </c>
    </row>
    <row r="65" spans="2:2" x14ac:dyDescent="0.2">
      <c r="B65" t="s">
        <v>1390</v>
      </c>
    </row>
    <row r="66" spans="2:2" x14ac:dyDescent="0.2">
      <c r="B66" t="s">
        <v>1391</v>
      </c>
    </row>
    <row r="67" spans="2:2" x14ac:dyDescent="0.2">
      <c r="B67" t="s">
        <v>1392</v>
      </c>
    </row>
    <row r="68" spans="2:2" x14ac:dyDescent="0.2">
      <c r="B68" t="s">
        <v>1393</v>
      </c>
    </row>
    <row r="69" spans="2:2" x14ac:dyDescent="0.2">
      <c r="B69" t="s">
        <v>1394</v>
      </c>
    </row>
    <row r="70" spans="2:2" x14ac:dyDescent="0.2">
      <c r="B70" t="s">
        <v>1395</v>
      </c>
    </row>
    <row r="71" spans="2:2" x14ac:dyDescent="0.2">
      <c r="B71" t="s">
        <v>1396</v>
      </c>
    </row>
    <row r="72" spans="2:2" x14ac:dyDescent="0.2">
      <c r="B72" t="s">
        <v>1397</v>
      </c>
    </row>
    <row r="73" spans="2:2" x14ac:dyDescent="0.2">
      <c r="B73" t="s">
        <v>1398</v>
      </c>
    </row>
    <row r="74" spans="2:2" x14ac:dyDescent="0.2">
      <c r="B74" t="s">
        <v>1399</v>
      </c>
    </row>
    <row r="75" spans="2:2" x14ac:dyDescent="0.2">
      <c r="B75" t="s">
        <v>1400</v>
      </c>
    </row>
    <row r="76" spans="2:2" x14ac:dyDescent="0.2">
      <c r="B76" t="s">
        <v>1401</v>
      </c>
    </row>
    <row r="77" spans="2:2" x14ac:dyDescent="0.2">
      <c r="B77" t="s">
        <v>1402</v>
      </c>
    </row>
    <row r="78" spans="2:2" x14ac:dyDescent="0.2">
      <c r="B78" t="s">
        <v>1403</v>
      </c>
    </row>
    <row r="79" spans="2:2" x14ac:dyDescent="0.2">
      <c r="B79" t="s">
        <v>1404</v>
      </c>
    </row>
    <row r="80" spans="2:2" x14ac:dyDescent="0.2">
      <c r="B80" t="s">
        <v>1405</v>
      </c>
    </row>
    <row r="81" spans="2:2" x14ac:dyDescent="0.2">
      <c r="B81" t="s">
        <v>1406</v>
      </c>
    </row>
    <row r="82" spans="2:2" x14ac:dyDescent="0.2">
      <c r="B82" t="s">
        <v>1407</v>
      </c>
    </row>
    <row r="83" spans="2:2" x14ac:dyDescent="0.2">
      <c r="B83" t="s">
        <v>1408</v>
      </c>
    </row>
    <row r="84" spans="2:2" x14ac:dyDescent="0.2">
      <c r="B84" t="s">
        <v>1409</v>
      </c>
    </row>
    <row r="85" spans="2:2" x14ac:dyDescent="0.2">
      <c r="B85" t="s">
        <v>1410</v>
      </c>
    </row>
    <row r="86" spans="2:2" x14ac:dyDescent="0.2">
      <c r="B86" t="s">
        <v>1411</v>
      </c>
    </row>
    <row r="87" spans="2:2" x14ac:dyDescent="0.2">
      <c r="B87" t="s">
        <v>1412</v>
      </c>
    </row>
    <row r="88" spans="2:2" x14ac:dyDescent="0.2">
      <c r="B88" t="s">
        <v>1413</v>
      </c>
    </row>
    <row r="89" spans="2:2" x14ac:dyDescent="0.2">
      <c r="B89" t="s">
        <v>1414</v>
      </c>
    </row>
    <row r="90" spans="2:2" x14ac:dyDescent="0.2">
      <c r="B90" t="s">
        <v>1415</v>
      </c>
    </row>
    <row r="91" spans="2:2" x14ac:dyDescent="0.2">
      <c r="B91" t="s">
        <v>1416</v>
      </c>
    </row>
    <row r="92" spans="2:2" x14ac:dyDescent="0.2">
      <c r="B92" t="s">
        <v>1417</v>
      </c>
    </row>
    <row r="93" spans="2:2" x14ac:dyDescent="0.2">
      <c r="B93" t="s">
        <v>1418</v>
      </c>
    </row>
    <row r="94" spans="2:2" x14ac:dyDescent="0.2">
      <c r="B94" t="s">
        <v>1419</v>
      </c>
    </row>
    <row r="95" spans="2:2" x14ac:dyDescent="0.2">
      <c r="B95" t="s">
        <v>1420</v>
      </c>
    </row>
    <row r="96" spans="2:2" x14ac:dyDescent="0.2">
      <c r="B96" t="s">
        <v>1421</v>
      </c>
    </row>
    <row r="97" spans="2:2" x14ac:dyDescent="0.2">
      <c r="B97" t="s">
        <v>1422</v>
      </c>
    </row>
    <row r="98" spans="2:2" x14ac:dyDescent="0.2">
      <c r="B98" t="s">
        <v>1423</v>
      </c>
    </row>
    <row r="99" spans="2:2" x14ac:dyDescent="0.2">
      <c r="B99" t="s">
        <v>1424</v>
      </c>
    </row>
    <row r="100" spans="2:2" x14ac:dyDescent="0.2">
      <c r="B100" t="s">
        <v>1425</v>
      </c>
    </row>
    <row r="101" spans="2:2" x14ac:dyDescent="0.2">
      <c r="B101" t="s">
        <v>1426</v>
      </c>
    </row>
    <row r="102" spans="2:2" x14ac:dyDescent="0.2">
      <c r="B102" t="s">
        <v>1427</v>
      </c>
    </row>
    <row r="103" spans="2:2" x14ac:dyDescent="0.2">
      <c r="B103" t="s">
        <v>1428</v>
      </c>
    </row>
    <row r="104" spans="2:2" x14ac:dyDescent="0.2">
      <c r="B104" t="s">
        <v>1429</v>
      </c>
    </row>
    <row r="105" spans="2:2" x14ac:dyDescent="0.2">
      <c r="B105" t="s">
        <v>1430</v>
      </c>
    </row>
    <row r="106" spans="2:2" x14ac:dyDescent="0.2">
      <c r="B106" t="s">
        <v>1431</v>
      </c>
    </row>
    <row r="107" spans="2:2" x14ac:dyDescent="0.2">
      <c r="B107" t="s">
        <v>1432</v>
      </c>
    </row>
    <row r="108" spans="2:2" x14ac:dyDescent="0.2">
      <c r="B108" t="s">
        <v>1433</v>
      </c>
    </row>
    <row r="109" spans="2:2" x14ac:dyDescent="0.2">
      <c r="B109" t="s">
        <v>1434</v>
      </c>
    </row>
    <row r="110" spans="2:2" x14ac:dyDescent="0.2">
      <c r="B110" t="s">
        <v>1435</v>
      </c>
    </row>
    <row r="111" spans="2:2" x14ac:dyDescent="0.2">
      <c r="B111" t="s">
        <v>1436</v>
      </c>
    </row>
    <row r="112" spans="2:2" x14ac:dyDescent="0.2">
      <c r="B112" t="s">
        <v>1437</v>
      </c>
    </row>
    <row r="113" spans="2:2" x14ac:dyDescent="0.2">
      <c r="B113" t="s">
        <v>1438</v>
      </c>
    </row>
    <row r="114" spans="2:2" x14ac:dyDescent="0.2">
      <c r="B114" t="s">
        <v>1439</v>
      </c>
    </row>
    <row r="115" spans="2:2" x14ac:dyDescent="0.2">
      <c r="B115" t="s">
        <v>1440</v>
      </c>
    </row>
    <row r="116" spans="2:2" x14ac:dyDescent="0.2">
      <c r="B116" t="s">
        <v>1441</v>
      </c>
    </row>
    <row r="117" spans="2:2" x14ac:dyDescent="0.2">
      <c r="B117" t="s">
        <v>1442</v>
      </c>
    </row>
    <row r="118" spans="2:2" x14ac:dyDescent="0.2">
      <c r="B118" t="s">
        <v>1443</v>
      </c>
    </row>
    <row r="119" spans="2:2" x14ac:dyDescent="0.2">
      <c r="B119" t="s">
        <v>1444</v>
      </c>
    </row>
    <row r="120" spans="2:2" x14ac:dyDescent="0.2">
      <c r="B120" t="s">
        <v>1445</v>
      </c>
    </row>
    <row r="121" spans="2:2" x14ac:dyDescent="0.2">
      <c r="B121" t="s">
        <v>1446</v>
      </c>
    </row>
    <row r="122" spans="2:2" x14ac:dyDescent="0.2">
      <c r="B122" t="s">
        <v>1447</v>
      </c>
    </row>
    <row r="123" spans="2:2" x14ac:dyDescent="0.2">
      <c r="B123" t="s">
        <v>1448</v>
      </c>
    </row>
    <row r="124" spans="2:2" x14ac:dyDescent="0.2">
      <c r="B124" t="s">
        <v>1449</v>
      </c>
    </row>
    <row r="125" spans="2:2" x14ac:dyDescent="0.2">
      <c r="B125" t="s">
        <v>1450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9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1451</v>
      </c>
    </row>
    <row r="3" spans="1:2" x14ac:dyDescent="0.2">
      <c r="B3" t="s">
        <v>1452</v>
      </c>
    </row>
    <row r="4" spans="1:2" x14ac:dyDescent="0.2">
      <c r="B4" t="s">
        <v>1453</v>
      </c>
    </row>
    <row r="5" spans="1:2" x14ac:dyDescent="0.2">
      <c r="B5" t="s">
        <v>1454</v>
      </c>
    </row>
    <row r="6" spans="1:2" x14ac:dyDescent="0.2">
      <c r="B6" t="s">
        <v>1455</v>
      </c>
    </row>
    <row r="7" spans="1:2" x14ac:dyDescent="0.2">
      <c r="B7" t="s">
        <v>1456</v>
      </c>
    </row>
    <row r="8" spans="1:2" x14ac:dyDescent="0.2">
      <c r="B8" t="s">
        <v>1457</v>
      </c>
    </row>
    <row r="9" spans="1:2" x14ac:dyDescent="0.2">
      <c r="B9" t="s">
        <v>1458</v>
      </c>
    </row>
    <row r="10" spans="1:2" x14ac:dyDescent="0.2">
      <c r="B10" t="s">
        <v>1459</v>
      </c>
    </row>
    <row r="11" spans="1:2" x14ac:dyDescent="0.2">
      <c r="B11" t="s">
        <v>1460</v>
      </c>
    </row>
    <row r="12" spans="1:2" x14ac:dyDescent="0.2">
      <c r="B12" t="s">
        <v>1461</v>
      </c>
    </row>
    <row r="13" spans="1:2" x14ac:dyDescent="0.2">
      <c r="B13" t="s">
        <v>1462</v>
      </c>
    </row>
    <row r="14" spans="1:2" x14ac:dyDescent="0.2">
      <c r="B14" t="s">
        <v>1463</v>
      </c>
    </row>
    <row r="15" spans="1:2" x14ac:dyDescent="0.2">
      <c r="B15" t="s">
        <v>1464</v>
      </c>
    </row>
    <row r="16" spans="1:2" x14ac:dyDescent="0.2">
      <c r="B16" t="s">
        <v>1465</v>
      </c>
    </row>
    <row r="17" spans="2:2" x14ac:dyDescent="0.2">
      <c r="B17" t="s">
        <v>1466</v>
      </c>
    </row>
    <row r="18" spans="2:2" x14ac:dyDescent="0.2">
      <c r="B18" t="s">
        <v>1467</v>
      </c>
    </row>
    <row r="19" spans="2:2" x14ac:dyDescent="0.2">
      <c r="B19" t="s">
        <v>1468</v>
      </c>
    </row>
    <row r="20" spans="2:2" x14ac:dyDescent="0.2">
      <c r="B20" t="s">
        <v>1469</v>
      </c>
    </row>
    <row r="21" spans="2:2" x14ac:dyDescent="0.2">
      <c r="B21" t="s">
        <v>1470</v>
      </c>
    </row>
    <row r="22" spans="2:2" x14ac:dyDescent="0.2">
      <c r="B22" t="s">
        <v>1471</v>
      </c>
    </row>
    <row r="23" spans="2:2" x14ac:dyDescent="0.2">
      <c r="B23" t="s">
        <v>1472</v>
      </c>
    </row>
    <row r="24" spans="2:2" x14ac:dyDescent="0.2">
      <c r="B24" t="s">
        <v>1473</v>
      </c>
    </row>
    <row r="25" spans="2:2" x14ac:dyDescent="0.2">
      <c r="B25" t="s">
        <v>1474</v>
      </c>
    </row>
    <row r="26" spans="2:2" x14ac:dyDescent="0.2">
      <c r="B26" t="s">
        <v>1475</v>
      </c>
    </row>
    <row r="27" spans="2:2" x14ac:dyDescent="0.2">
      <c r="B27" t="s">
        <v>1476</v>
      </c>
    </row>
    <row r="28" spans="2:2" x14ac:dyDescent="0.2">
      <c r="B28" t="s">
        <v>1477</v>
      </c>
    </row>
    <row r="29" spans="2:2" x14ac:dyDescent="0.2">
      <c r="B29" t="s">
        <v>1478</v>
      </c>
    </row>
    <row r="30" spans="2:2" x14ac:dyDescent="0.2">
      <c r="B30" t="s">
        <v>1479</v>
      </c>
    </row>
    <row r="31" spans="2:2" x14ac:dyDescent="0.2">
      <c r="B31" t="s">
        <v>1480</v>
      </c>
    </row>
    <row r="32" spans="2:2" x14ac:dyDescent="0.2">
      <c r="B32" t="s">
        <v>1481</v>
      </c>
    </row>
    <row r="33" spans="2:2" x14ac:dyDescent="0.2">
      <c r="B33" t="s">
        <v>1482</v>
      </c>
    </row>
    <row r="34" spans="2:2" x14ac:dyDescent="0.2">
      <c r="B34" t="s">
        <v>1483</v>
      </c>
    </row>
    <row r="35" spans="2:2" x14ac:dyDescent="0.2">
      <c r="B35" t="s">
        <v>1484</v>
      </c>
    </row>
    <row r="36" spans="2:2" x14ac:dyDescent="0.2">
      <c r="B36" t="s">
        <v>1485</v>
      </c>
    </row>
    <row r="37" spans="2:2" x14ac:dyDescent="0.2">
      <c r="B37" t="s">
        <v>1486</v>
      </c>
    </row>
    <row r="38" spans="2:2" x14ac:dyDescent="0.2">
      <c r="B38" t="s">
        <v>1487</v>
      </c>
    </row>
    <row r="39" spans="2:2" x14ac:dyDescent="0.2">
      <c r="B39" t="s">
        <v>1488</v>
      </c>
    </row>
    <row r="40" spans="2:2" x14ac:dyDescent="0.2">
      <c r="B40" t="s">
        <v>1489</v>
      </c>
    </row>
    <row r="41" spans="2:2" x14ac:dyDescent="0.2">
      <c r="B41" t="s">
        <v>1490</v>
      </c>
    </row>
    <row r="42" spans="2:2" x14ac:dyDescent="0.2">
      <c r="B42" t="s">
        <v>1491</v>
      </c>
    </row>
    <row r="43" spans="2:2" x14ac:dyDescent="0.2">
      <c r="B43" t="s">
        <v>1492</v>
      </c>
    </row>
    <row r="44" spans="2:2" x14ac:dyDescent="0.2">
      <c r="B44" t="s">
        <v>1493</v>
      </c>
    </row>
    <row r="45" spans="2:2" x14ac:dyDescent="0.2">
      <c r="B45" t="s">
        <v>1494</v>
      </c>
    </row>
    <row r="46" spans="2:2" x14ac:dyDescent="0.2">
      <c r="B46" t="s">
        <v>1495</v>
      </c>
    </row>
    <row r="47" spans="2:2" x14ac:dyDescent="0.2">
      <c r="B47" t="s">
        <v>1496</v>
      </c>
    </row>
    <row r="48" spans="2:2" x14ac:dyDescent="0.2">
      <c r="B48" t="s">
        <v>1497</v>
      </c>
    </row>
    <row r="49" spans="2:2" x14ac:dyDescent="0.2">
      <c r="B49" t="s">
        <v>1498</v>
      </c>
    </row>
    <row r="50" spans="2:2" x14ac:dyDescent="0.2">
      <c r="B50" t="s">
        <v>1499</v>
      </c>
    </row>
    <row r="51" spans="2:2" x14ac:dyDescent="0.2">
      <c r="B51" t="s">
        <v>1500</v>
      </c>
    </row>
    <row r="52" spans="2:2" x14ac:dyDescent="0.2">
      <c r="B52" t="s">
        <v>1501</v>
      </c>
    </row>
    <row r="53" spans="2:2" x14ac:dyDescent="0.2">
      <c r="B53" t="s">
        <v>1502</v>
      </c>
    </row>
    <row r="54" spans="2:2" x14ac:dyDescent="0.2">
      <c r="B54" t="s">
        <v>1503</v>
      </c>
    </row>
    <row r="55" spans="2:2" x14ac:dyDescent="0.2">
      <c r="B55" t="s">
        <v>1504</v>
      </c>
    </row>
    <row r="56" spans="2:2" x14ac:dyDescent="0.2">
      <c r="B56" t="s">
        <v>1505</v>
      </c>
    </row>
    <row r="57" spans="2:2" x14ac:dyDescent="0.2">
      <c r="B57" t="s">
        <v>1506</v>
      </c>
    </row>
    <row r="58" spans="2:2" x14ac:dyDescent="0.2">
      <c r="B58" t="s">
        <v>1507</v>
      </c>
    </row>
    <row r="59" spans="2:2" x14ac:dyDescent="0.2">
      <c r="B59" t="s">
        <v>1508</v>
      </c>
    </row>
    <row r="60" spans="2:2" x14ac:dyDescent="0.2">
      <c r="B60" t="s">
        <v>1509</v>
      </c>
    </row>
    <row r="61" spans="2:2" x14ac:dyDescent="0.2">
      <c r="B61" t="s">
        <v>1510</v>
      </c>
    </row>
    <row r="62" spans="2:2" x14ac:dyDescent="0.2">
      <c r="B62" t="s">
        <v>1511</v>
      </c>
    </row>
    <row r="63" spans="2:2" x14ac:dyDescent="0.2">
      <c r="B63" t="s">
        <v>1512</v>
      </c>
    </row>
    <row r="64" spans="2:2" x14ac:dyDescent="0.2">
      <c r="B64" t="s">
        <v>1513</v>
      </c>
    </row>
    <row r="65" spans="2:2" x14ac:dyDescent="0.2">
      <c r="B65" t="s">
        <v>1514</v>
      </c>
    </row>
    <row r="66" spans="2:2" x14ac:dyDescent="0.2">
      <c r="B66" t="s">
        <v>1515</v>
      </c>
    </row>
    <row r="67" spans="2:2" x14ac:dyDescent="0.2">
      <c r="B67" t="s">
        <v>1516</v>
      </c>
    </row>
    <row r="68" spans="2:2" x14ac:dyDescent="0.2">
      <c r="B68" t="s">
        <v>1517</v>
      </c>
    </row>
    <row r="69" spans="2:2" x14ac:dyDescent="0.2">
      <c r="B69" t="s">
        <v>1518</v>
      </c>
    </row>
    <row r="70" spans="2:2" x14ac:dyDescent="0.2">
      <c r="B70" t="s">
        <v>1519</v>
      </c>
    </row>
    <row r="71" spans="2:2" x14ac:dyDescent="0.2">
      <c r="B71" t="s">
        <v>1520</v>
      </c>
    </row>
    <row r="72" spans="2:2" x14ac:dyDescent="0.2">
      <c r="B72" t="s">
        <v>1521</v>
      </c>
    </row>
    <row r="73" spans="2:2" x14ac:dyDescent="0.2">
      <c r="B73" t="s">
        <v>1522</v>
      </c>
    </row>
    <row r="74" spans="2:2" x14ac:dyDescent="0.2">
      <c r="B74" t="s">
        <v>1523</v>
      </c>
    </row>
    <row r="75" spans="2:2" x14ac:dyDescent="0.2">
      <c r="B75" t="s">
        <v>1524</v>
      </c>
    </row>
    <row r="76" spans="2:2" x14ac:dyDescent="0.2">
      <c r="B76" t="s">
        <v>1525</v>
      </c>
    </row>
    <row r="77" spans="2:2" x14ac:dyDescent="0.2">
      <c r="B77" t="s">
        <v>1526</v>
      </c>
    </row>
    <row r="78" spans="2:2" x14ac:dyDescent="0.2">
      <c r="B78" t="s">
        <v>1527</v>
      </c>
    </row>
    <row r="79" spans="2:2" x14ac:dyDescent="0.2">
      <c r="B79" t="s">
        <v>1528</v>
      </c>
    </row>
    <row r="80" spans="2:2" x14ac:dyDescent="0.2">
      <c r="B80" t="s">
        <v>1529</v>
      </c>
    </row>
    <row r="81" spans="2:2" x14ac:dyDescent="0.2">
      <c r="B81" t="s">
        <v>1530</v>
      </c>
    </row>
    <row r="82" spans="2:2" x14ac:dyDescent="0.2">
      <c r="B82" t="s">
        <v>1531</v>
      </c>
    </row>
    <row r="83" spans="2:2" x14ac:dyDescent="0.2">
      <c r="B83" t="s">
        <v>1532</v>
      </c>
    </row>
    <row r="84" spans="2:2" x14ac:dyDescent="0.2">
      <c r="B84" t="s">
        <v>1533</v>
      </c>
    </row>
    <row r="85" spans="2:2" x14ac:dyDescent="0.2">
      <c r="B85" t="s">
        <v>1534</v>
      </c>
    </row>
    <row r="86" spans="2:2" x14ac:dyDescent="0.2">
      <c r="B86" t="s">
        <v>1535</v>
      </c>
    </row>
    <row r="87" spans="2:2" x14ac:dyDescent="0.2">
      <c r="B87" t="s">
        <v>1536</v>
      </c>
    </row>
    <row r="88" spans="2:2" x14ac:dyDescent="0.2">
      <c r="B88" t="s">
        <v>1537</v>
      </c>
    </row>
    <row r="89" spans="2:2" x14ac:dyDescent="0.2">
      <c r="B89" t="s">
        <v>1538</v>
      </c>
    </row>
    <row r="90" spans="2:2" x14ac:dyDescent="0.2">
      <c r="B90" t="s">
        <v>1539</v>
      </c>
    </row>
    <row r="91" spans="2:2" x14ac:dyDescent="0.2">
      <c r="B91" t="s">
        <v>1540</v>
      </c>
    </row>
    <row r="92" spans="2:2" x14ac:dyDescent="0.2">
      <c r="B92" t="s">
        <v>1541</v>
      </c>
    </row>
    <row r="93" spans="2:2" x14ac:dyDescent="0.2">
      <c r="B93" t="s">
        <v>1542</v>
      </c>
    </row>
    <row r="94" spans="2:2" x14ac:dyDescent="0.2">
      <c r="B94" t="s">
        <v>1543</v>
      </c>
    </row>
    <row r="95" spans="2:2" x14ac:dyDescent="0.2">
      <c r="B95" t="s">
        <v>1544</v>
      </c>
    </row>
    <row r="96" spans="2:2" x14ac:dyDescent="0.2">
      <c r="B96" t="s">
        <v>1545</v>
      </c>
    </row>
    <row r="97" spans="2:2" x14ac:dyDescent="0.2">
      <c r="B97" t="s">
        <v>1546</v>
      </c>
    </row>
    <row r="98" spans="2:2" x14ac:dyDescent="0.2">
      <c r="B98" t="s">
        <v>1547</v>
      </c>
    </row>
    <row r="99" spans="2:2" x14ac:dyDescent="0.2">
      <c r="B99" t="s">
        <v>1548</v>
      </c>
    </row>
    <row r="100" spans="2:2" x14ac:dyDescent="0.2">
      <c r="B100" t="s">
        <v>1549</v>
      </c>
    </row>
    <row r="101" spans="2:2" x14ac:dyDescent="0.2">
      <c r="B101" t="s">
        <v>1550</v>
      </c>
    </row>
    <row r="102" spans="2:2" x14ac:dyDescent="0.2">
      <c r="B102" t="s">
        <v>1551</v>
      </c>
    </row>
    <row r="103" spans="2:2" x14ac:dyDescent="0.2">
      <c r="B103" t="s">
        <v>1552</v>
      </c>
    </row>
    <row r="104" spans="2:2" x14ac:dyDescent="0.2">
      <c r="B104" t="s">
        <v>1553</v>
      </c>
    </row>
    <row r="105" spans="2:2" x14ac:dyDescent="0.2">
      <c r="B105" t="s">
        <v>1554</v>
      </c>
    </row>
    <row r="106" spans="2:2" x14ac:dyDescent="0.2">
      <c r="B106" t="s">
        <v>1555</v>
      </c>
    </row>
    <row r="107" spans="2:2" x14ac:dyDescent="0.2">
      <c r="B107" t="s">
        <v>1556</v>
      </c>
    </row>
    <row r="108" spans="2:2" x14ac:dyDescent="0.2">
      <c r="B108" t="s">
        <v>1557</v>
      </c>
    </row>
    <row r="109" spans="2:2" x14ac:dyDescent="0.2">
      <c r="B109" t="s">
        <v>1558</v>
      </c>
    </row>
    <row r="110" spans="2:2" x14ac:dyDescent="0.2">
      <c r="B110" t="s">
        <v>1559</v>
      </c>
    </row>
    <row r="111" spans="2:2" x14ac:dyDescent="0.2">
      <c r="B111" t="s">
        <v>1560</v>
      </c>
    </row>
    <row r="112" spans="2:2" x14ac:dyDescent="0.2">
      <c r="B112" t="s">
        <v>1561</v>
      </c>
    </row>
    <row r="113" spans="2:2" x14ac:dyDescent="0.2">
      <c r="B113" t="s">
        <v>1562</v>
      </c>
    </row>
    <row r="114" spans="2:2" x14ac:dyDescent="0.2">
      <c r="B114" t="s">
        <v>1563</v>
      </c>
    </row>
    <row r="115" spans="2:2" x14ac:dyDescent="0.2">
      <c r="B115" t="s">
        <v>1564</v>
      </c>
    </row>
    <row r="116" spans="2:2" x14ac:dyDescent="0.2">
      <c r="B116" t="s">
        <v>1565</v>
      </c>
    </row>
    <row r="117" spans="2:2" x14ac:dyDescent="0.2">
      <c r="B117" t="s">
        <v>1566</v>
      </c>
    </row>
    <row r="118" spans="2:2" x14ac:dyDescent="0.2">
      <c r="B118" t="s">
        <v>1567</v>
      </c>
    </row>
    <row r="119" spans="2:2" x14ac:dyDescent="0.2">
      <c r="B119" t="s">
        <v>1568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5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1569</v>
      </c>
    </row>
    <row r="3" spans="1:2" x14ac:dyDescent="0.2">
      <c r="B3" t="s">
        <v>1570</v>
      </c>
    </row>
    <row r="4" spans="1:2" x14ac:dyDescent="0.2">
      <c r="B4" t="s">
        <v>1571</v>
      </c>
    </row>
    <row r="5" spans="1:2" x14ac:dyDescent="0.2">
      <c r="B5" t="s">
        <v>1572</v>
      </c>
    </row>
    <row r="6" spans="1:2" x14ac:dyDescent="0.2">
      <c r="B6" t="s">
        <v>1573</v>
      </c>
    </row>
    <row r="7" spans="1:2" x14ac:dyDescent="0.2">
      <c r="B7" t="s">
        <v>1574</v>
      </c>
    </row>
    <row r="8" spans="1:2" x14ac:dyDescent="0.2">
      <c r="B8" t="s">
        <v>1575</v>
      </c>
    </row>
    <row r="9" spans="1:2" x14ac:dyDescent="0.2">
      <c r="B9" t="s">
        <v>1576</v>
      </c>
    </row>
    <row r="10" spans="1:2" x14ac:dyDescent="0.2">
      <c r="B10" t="s">
        <v>1577</v>
      </c>
    </row>
    <row r="11" spans="1:2" x14ac:dyDescent="0.2">
      <c r="B11" t="s">
        <v>1578</v>
      </c>
    </row>
    <row r="12" spans="1:2" x14ac:dyDescent="0.2">
      <c r="B12" t="s">
        <v>1579</v>
      </c>
    </row>
    <row r="13" spans="1:2" x14ac:dyDescent="0.2">
      <c r="B13" t="s">
        <v>1580</v>
      </c>
    </row>
    <row r="14" spans="1:2" x14ac:dyDescent="0.2">
      <c r="B14" t="s">
        <v>1581</v>
      </c>
    </row>
    <row r="15" spans="1:2" x14ac:dyDescent="0.2">
      <c r="B15" t="s">
        <v>1582</v>
      </c>
    </row>
    <row r="16" spans="1:2" x14ac:dyDescent="0.2">
      <c r="B16" t="s">
        <v>1583</v>
      </c>
    </row>
    <row r="17" spans="2:2" x14ac:dyDescent="0.2">
      <c r="B17" t="s">
        <v>1584</v>
      </c>
    </row>
    <row r="18" spans="2:2" x14ac:dyDescent="0.2">
      <c r="B18" t="s">
        <v>1585</v>
      </c>
    </row>
    <row r="19" spans="2:2" x14ac:dyDescent="0.2">
      <c r="B19" t="s">
        <v>1586</v>
      </c>
    </row>
    <row r="20" spans="2:2" x14ac:dyDescent="0.2">
      <c r="B20" t="s">
        <v>1587</v>
      </c>
    </row>
    <row r="21" spans="2:2" x14ac:dyDescent="0.2">
      <c r="B21" t="s">
        <v>1588</v>
      </c>
    </row>
    <row r="22" spans="2:2" x14ac:dyDescent="0.2">
      <c r="B22" t="s">
        <v>1589</v>
      </c>
    </row>
    <row r="23" spans="2:2" x14ac:dyDescent="0.2">
      <c r="B23" t="s">
        <v>1590</v>
      </c>
    </row>
    <row r="24" spans="2:2" x14ac:dyDescent="0.2">
      <c r="B24" t="s">
        <v>1591</v>
      </c>
    </row>
    <row r="25" spans="2:2" x14ac:dyDescent="0.2">
      <c r="B25" t="s">
        <v>1592</v>
      </c>
    </row>
    <row r="26" spans="2:2" x14ac:dyDescent="0.2">
      <c r="B26" t="s">
        <v>1593</v>
      </c>
    </row>
    <row r="27" spans="2:2" x14ac:dyDescent="0.2">
      <c r="B27" t="s">
        <v>1594</v>
      </c>
    </row>
    <row r="28" spans="2:2" x14ac:dyDescent="0.2">
      <c r="B28" t="s">
        <v>1595</v>
      </c>
    </row>
    <row r="29" spans="2:2" x14ac:dyDescent="0.2">
      <c r="B29" t="s">
        <v>1596</v>
      </c>
    </row>
    <row r="30" spans="2:2" x14ac:dyDescent="0.2">
      <c r="B30" t="s">
        <v>1597</v>
      </c>
    </row>
    <row r="31" spans="2:2" x14ac:dyDescent="0.2">
      <c r="B31" t="s">
        <v>1598</v>
      </c>
    </row>
    <row r="32" spans="2:2" x14ac:dyDescent="0.2">
      <c r="B32" t="s">
        <v>1599</v>
      </c>
    </row>
    <row r="33" spans="2:2" x14ac:dyDescent="0.2">
      <c r="B33" t="s">
        <v>1600</v>
      </c>
    </row>
    <row r="34" spans="2:2" x14ac:dyDescent="0.2">
      <c r="B34" t="s">
        <v>1601</v>
      </c>
    </row>
    <row r="35" spans="2:2" x14ac:dyDescent="0.2">
      <c r="B35" t="s">
        <v>1602</v>
      </c>
    </row>
    <row r="36" spans="2:2" x14ac:dyDescent="0.2">
      <c r="B36" t="s">
        <v>1603</v>
      </c>
    </row>
    <row r="37" spans="2:2" x14ac:dyDescent="0.2">
      <c r="B37" t="s">
        <v>1604</v>
      </c>
    </row>
    <row r="38" spans="2:2" x14ac:dyDescent="0.2">
      <c r="B38" t="s">
        <v>1605</v>
      </c>
    </row>
    <row r="39" spans="2:2" x14ac:dyDescent="0.2">
      <c r="B39" t="s">
        <v>1606</v>
      </c>
    </row>
    <row r="40" spans="2:2" x14ac:dyDescent="0.2">
      <c r="B40" t="s">
        <v>1607</v>
      </c>
    </row>
    <row r="41" spans="2:2" x14ac:dyDescent="0.2">
      <c r="B41" t="s">
        <v>1608</v>
      </c>
    </row>
    <row r="42" spans="2:2" x14ac:dyDescent="0.2">
      <c r="B42" t="s">
        <v>1609</v>
      </c>
    </row>
    <row r="43" spans="2:2" x14ac:dyDescent="0.2">
      <c r="B43" t="s">
        <v>1610</v>
      </c>
    </row>
    <row r="44" spans="2:2" x14ac:dyDescent="0.2">
      <c r="B44" t="s">
        <v>1611</v>
      </c>
    </row>
    <row r="45" spans="2:2" x14ac:dyDescent="0.2">
      <c r="B45" t="s">
        <v>1612</v>
      </c>
    </row>
    <row r="46" spans="2:2" x14ac:dyDescent="0.2">
      <c r="B46" t="s">
        <v>1613</v>
      </c>
    </row>
    <row r="47" spans="2:2" x14ac:dyDescent="0.2">
      <c r="B47" t="s">
        <v>1614</v>
      </c>
    </row>
    <row r="48" spans="2:2" x14ac:dyDescent="0.2">
      <c r="B48" t="s">
        <v>1615</v>
      </c>
    </row>
    <row r="49" spans="2:2" x14ac:dyDescent="0.2">
      <c r="B49" t="s">
        <v>1616</v>
      </c>
    </row>
    <row r="50" spans="2:2" x14ac:dyDescent="0.2">
      <c r="B50" t="s">
        <v>1617</v>
      </c>
    </row>
    <row r="51" spans="2:2" x14ac:dyDescent="0.2">
      <c r="B51" t="s">
        <v>1618</v>
      </c>
    </row>
    <row r="52" spans="2:2" x14ac:dyDescent="0.2">
      <c r="B52" t="s">
        <v>1619</v>
      </c>
    </row>
    <row r="53" spans="2:2" x14ac:dyDescent="0.2">
      <c r="B53" t="s">
        <v>1620</v>
      </c>
    </row>
    <row r="54" spans="2:2" x14ac:dyDescent="0.2">
      <c r="B54" t="s">
        <v>1621</v>
      </c>
    </row>
    <row r="55" spans="2:2" x14ac:dyDescent="0.2">
      <c r="B55" t="s">
        <v>1622</v>
      </c>
    </row>
    <row r="56" spans="2:2" x14ac:dyDescent="0.2">
      <c r="B56" t="s">
        <v>1623</v>
      </c>
    </row>
    <row r="57" spans="2:2" x14ac:dyDescent="0.2">
      <c r="B57" t="s">
        <v>1624</v>
      </c>
    </row>
    <row r="58" spans="2:2" x14ac:dyDescent="0.2">
      <c r="B58" t="s">
        <v>1625</v>
      </c>
    </row>
    <row r="59" spans="2:2" x14ac:dyDescent="0.2">
      <c r="B59" t="s">
        <v>1626</v>
      </c>
    </row>
    <row r="60" spans="2:2" x14ac:dyDescent="0.2">
      <c r="B60" t="s">
        <v>1627</v>
      </c>
    </row>
    <row r="61" spans="2:2" x14ac:dyDescent="0.2">
      <c r="B61" t="s">
        <v>1628</v>
      </c>
    </row>
    <row r="62" spans="2:2" x14ac:dyDescent="0.2">
      <c r="B62" t="s">
        <v>1629</v>
      </c>
    </row>
    <row r="63" spans="2:2" x14ac:dyDescent="0.2">
      <c r="B63" t="s">
        <v>1630</v>
      </c>
    </row>
    <row r="64" spans="2:2" x14ac:dyDescent="0.2">
      <c r="B64" t="s">
        <v>1631</v>
      </c>
    </row>
    <row r="65" spans="2:2" x14ac:dyDescent="0.2">
      <c r="B65" t="s">
        <v>1632</v>
      </c>
    </row>
    <row r="66" spans="2:2" x14ac:dyDescent="0.2">
      <c r="B66" t="s">
        <v>1633</v>
      </c>
    </row>
    <row r="67" spans="2:2" x14ac:dyDescent="0.2">
      <c r="B67" t="s">
        <v>1634</v>
      </c>
    </row>
    <row r="68" spans="2:2" x14ac:dyDescent="0.2">
      <c r="B68" t="s">
        <v>1635</v>
      </c>
    </row>
    <row r="69" spans="2:2" x14ac:dyDescent="0.2">
      <c r="B69" t="s">
        <v>1636</v>
      </c>
    </row>
    <row r="70" spans="2:2" x14ac:dyDescent="0.2">
      <c r="B70" t="s">
        <v>1637</v>
      </c>
    </row>
    <row r="71" spans="2:2" x14ac:dyDescent="0.2">
      <c r="B71" t="s">
        <v>1638</v>
      </c>
    </row>
    <row r="72" spans="2:2" x14ac:dyDescent="0.2">
      <c r="B72" t="s">
        <v>1639</v>
      </c>
    </row>
    <row r="73" spans="2:2" x14ac:dyDescent="0.2">
      <c r="B73" t="s">
        <v>1640</v>
      </c>
    </row>
    <row r="74" spans="2:2" x14ac:dyDescent="0.2">
      <c r="B74" t="s">
        <v>1641</v>
      </c>
    </row>
    <row r="75" spans="2:2" x14ac:dyDescent="0.2">
      <c r="B75" t="s">
        <v>1642</v>
      </c>
    </row>
    <row r="76" spans="2:2" x14ac:dyDescent="0.2">
      <c r="B76" t="s">
        <v>1643</v>
      </c>
    </row>
    <row r="77" spans="2:2" x14ac:dyDescent="0.2">
      <c r="B77" t="s">
        <v>1644</v>
      </c>
    </row>
    <row r="78" spans="2:2" x14ac:dyDescent="0.2">
      <c r="B78" t="s">
        <v>1645</v>
      </c>
    </row>
    <row r="79" spans="2:2" x14ac:dyDescent="0.2">
      <c r="B79" t="s">
        <v>1646</v>
      </c>
    </row>
    <row r="80" spans="2:2" x14ac:dyDescent="0.2">
      <c r="B80" t="s">
        <v>1647</v>
      </c>
    </row>
    <row r="81" spans="2:2" x14ac:dyDescent="0.2">
      <c r="B81" t="s">
        <v>1648</v>
      </c>
    </row>
    <row r="82" spans="2:2" x14ac:dyDescent="0.2">
      <c r="B82" t="s">
        <v>1649</v>
      </c>
    </row>
    <row r="83" spans="2:2" x14ac:dyDescent="0.2">
      <c r="B83" t="s">
        <v>1650</v>
      </c>
    </row>
    <row r="84" spans="2:2" x14ac:dyDescent="0.2">
      <c r="B84" t="s">
        <v>1651</v>
      </c>
    </row>
    <row r="85" spans="2:2" x14ac:dyDescent="0.2">
      <c r="B85" t="s">
        <v>1652</v>
      </c>
    </row>
    <row r="86" spans="2:2" x14ac:dyDescent="0.2">
      <c r="B86" t="s">
        <v>1653</v>
      </c>
    </row>
    <row r="87" spans="2:2" x14ac:dyDescent="0.2">
      <c r="B87" t="s">
        <v>1654</v>
      </c>
    </row>
    <row r="88" spans="2:2" x14ac:dyDescent="0.2">
      <c r="B88" t="s">
        <v>1655</v>
      </c>
    </row>
    <row r="89" spans="2:2" x14ac:dyDescent="0.2">
      <c r="B89" t="s">
        <v>1656</v>
      </c>
    </row>
    <row r="90" spans="2:2" x14ac:dyDescent="0.2">
      <c r="B90" t="s">
        <v>1657</v>
      </c>
    </row>
    <row r="91" spans="2:2" x14ac:dyDescent="0.2">
      <c r="B91" t="s">
        <v>1658</v>
      </c>
    </row>
    <row r="92" spans="2:2" x14ac:dyDescent="0.2">
      <c r="B92" t="s">
        <v>1659</v>
      </c>
    </row>
    <row r="93" spans="2:2" x14ac:dyDescent="0.2">
      <c r="B93" t="s">
        <v>1660</v>
      </c>
    </row>
    <row r="94" spans="2:2" x14ac:dyDescent="0.2">
      <c r="B94" t="s">
        <v>1661</v>
      </c>
    </row>
    <row r="95" spans="2:2" x14ac:dyDescent="0.2">
      <c r="B95" t="s">
        <v>1662</v>
      </c>
    </row>
    <row r="96" spans="2:2" x14ac:dyDescent="0.2">
      <c r="B96" t="s">
        <v>1663</v>
      </c>
    </row>
    <row r="97" spans="2:2" x14ac:dyDescent="0.2">
      <c r="B97" t="s">
        <v>1664</v>
      </c>
    </row>
    <row r="98" spans="2:2" x14ac:dyDescent="0.2">
      <c r="B98" t="s">
        <v>1665</v>
      </c>
    </row>
    <row r="99" spans="2:2" x14ac:dyDescent="0.2">
      <c r="B99" t="s">
        <v>1666</v>
      </c>
    </row>
    <row r="100" spans="2:2" x14ac:dyDescent="0.2">
      <c r="B100" t="s">
        <v>1667</v>
      </c>
    </row>
    <row r="101" spans="2:2" x14ac:dyDescent="0.2">
      <c r="B101" t="s">
        <v>1668</v>
      </c>
    </row>
    <row r="102" spans="2:2" x14ac:dyDescent="0.2">
      <c r="B102" t="s">
        <v>1669</v>
      </c>
    </row>
    <row r="103" spans="2:2" x14ac:dyDescent="0.2">
      <c r="B103" t="s">
        <v>1670</v>
      </c>
    </row>
    <row r="104" spans="2:2" x14ac:dyDescent="0.2">
      <c r="B104" t="s">
        <v>1671</v>
      </c>
    </row>
    <row r="105" spans="2:2" x14ac:dyDescent="0.2">
      <c r="B105" t="s">
        <v>1672</v>
      </c>
    </row>
    <row r="106" spans="2:2" x14ac:dyDescent="0.2">
      <c r="B106" t="s">
        <v>1673</v>
      </c>
    </row>
    <row r="107" spans="2:2" x14ac:dyDescent="0.2">
      <c r="B107" t="s">
        <v>1674</v>
      </c>
    </row>
    <row r="108" spans="2:2" x14ac:dyDescent="0.2">
      <c r="B108" t="s">
        <v>1675</v>
      </c>
    </row>
    <row r="109" spans="2:2" x14ac:dyDescent="0.2">
      <c r="B109" t="s">
        <v>1676</v>
      </c>
    </row>
    <row r="110" spans="2:2" x14ac:dyDescent="0.2">
      <c r="B110" t="s">
        <v>1677</v>
      </c>
    </row>
    <row r="111" spans="2:2" x14ac:dyDescent="0.2">
      <c r="B111" t="s">
        <v>1678</v>
      </c>
    </row>
    <row r="112" spans="2:2" x14ac:dyDescent="0.2">
      <c r="B112" t="s">
        <v>1679</v>
      </c>
    </row>
    <row r="113" spans="2:2" x14ac:dyDescent="0.2">
      <c r="B113" t="s">
        <v>1680</v>
      </c>
    </row>
    <row r="114" spans="2:2" x14ac:dyDescent="0.2">
      <c r="B114" t="s">
        <v>1681</v>
      </c>
    </row>
    <row r="115" spans="2:2" x14ac:dyDescent="0.2">
      <c r="B115" t="s">
        <v>1682</v>
      </c>
    </row>
    <row r="116" spans="2:2" x14ac:dyDescent="0.2">
      <c r="B116" t="s">
        <v>1683</v>
      </c>
    </row>
    <row r="117" spans="2:2" x14ac:dyDescent="0.2">
      <c r="B117" t="s">
        <v>1684</v>
      </c>
    </row>
    <row r="118" spans="2:2" x14ac:dyDescent="0.2">
      <c r="B118" t="s">
        <v>1685</v>
      </c>
    </row>
    <row r="119" spans="2:2" x14ac:dyDescent="0.2">
      <c r="B119" t="s">
        <v>1686</v>
      </c>
    </row>
    <row r="120" spans="2:2" x14ac:dyDescent="0.2">
      <c r="B120" t="s">
        <v>1687</v>
      </c>
    </row>
    <row r="121" spans="2:2" x14ac:dyDescent="0.2">
      <c r="B121" t="s">
        <v>1688</v>
      </c>
    </row>
    <row r="122" spans="2:2" x14ac:dyDescent="0.2">
      <c r="B122" t="s">
        <v>1689</v>
      </c>
    </row>
    <row r="123" spans="2:2" x14ac:dyDescent="0.2">
      <c r="B123" t="s">
        <v>1690</v>
      </c>
    </row>
    <row r="124" spans="2:2" x14ac:dyDescent="0.2">
      <c r="B124" t="s">
        <v>1691</v>
      </c>
    </row>
    <row r="125" spans="2:2" x14ac:dyDescent="0.2">
      <c r="B125" t="s">
        <v>1692</v>
      </c>
    </row>
    <row r="126" spans="2:2" x14ac:dyDescent="0.2">
      <c r="B126" t="s">
        <v>1693</v>
      </c>
    </row>
    <row r="127" spans="2:2" x14ac:dyDescent="0.2">
      <c r="B127" t="s">
        <v>1694</v>
      </c>
    </row>
    <row r="128" spans="2:2" x14ac:dyDescent="0.2">
      <c r="B128" t="s">
        <v>1695</v>
      </c>
    </row>
    <row r="129" spans="2:2" x14ac:dyDescent="0.2">
      <c r="B129" t="s">
        <v>1696</v>
      </c>
    </row>
    <row r="130" spans="2:2" x14ac:dyDescent="0.2">
      <c r="B130" t="s">
        <v>1697</v>
      </c>
    </row>
    <row r="131" spans="2:2" x14ac:dyDescent="0.2">
      <c r="B131" t="s">
        <v>1698</v>
      </c>
    </row>
    <row r="132" spans="2:2" x14ac:dyDescent="0.2">
      <c r="B132" t="s">
        <v>1699</v>
      </c>
    </row>
    <row r="133" spans="2:2" x14ac:dyDescent="0.2">
      <c r="B133" t="s">
        <v>1700</v>
      </c>
    </row>
    <row r="134" spans="2:2" x14ac:dyDescent="0.2">
      <c r="B134" t="s">
        <v>1701</v>
      </c>
    </row>
    <row r="135" spans="2:2" x14ac:dyDescent="0.2">
      <c r="B135" t="s">
        <v>1702</v>
      </c>
    </row>
    <row r="136" spans="2:2" x14ac:dyDescent="0.2">
      <c r="B136" t="s">
        <v>1703</v>
      </c>
    </row>
    <row r="137" spans="2:2" x14ac:dyDescent="0.2">
      <c r="B137" t="s">
        <v>1704</v>
      </c>
    </row>
    <row r="138" spans="2:2" x14ac:dyDescent="0.2">
      <c r="B138" t="s">
        <v>1705</v>
      </c>
    </row>
    <row r="139" spans="2:2" x14ac:dyDescent="0.2">
      <c r="B139" t="s">
        <v>1706</v>
      </c>
    </row>
    <row r="140" spans="2:2" x14ac:dyDescent="0.2">
      <c r="B140" t="s">
        <v>1707</v>
      </c>
    </row>
    <row r="141" spans="2:2" x14ac:dyDescent="0.2">
      <c r="B141" t="s">
        <v>1708</v>
      </c>
    </row>
    <row r="142" spans="2:2" x14ac:dyDescent="0.2">
      <c r="B142" t="s">
        <v>1709</v>
      </c>
    </row>
    <row r="143" spans="2:2" x14ac:dyDescent="0.2">
      <c r="B143" t="s">
        <v>1710</v>
      </c>
    </row>
    <row r="144" spans="2:2" x14ac:dyDescent="0.2">
      <c r="B144" t="s">
        <v>1711</v>
      </c>
    </row>
    <row r="145" spans="2:2" x14ac:dyDescent="0.2">
      <c r="B145" t="s">
        <v>1712</v>
      </c>
    </row>
    <row r="146" spans="2:2" x14ac:dyDescent="0.2">
      <c r="B146" t="s">
        <v>1713</v>
      </c>
    </row>
    <row r="147" spans="2:2" x14ac:dyDescent="0.2">
      <c r="B147" t="s">
        <v>1714</v>
      </c>
    </row>
    <row r="148" spans="2:2" x14ac:dyDescent="0.2">
      <c r="B148" t="s">
        <v>1715</v>
      </c>
    </row>
    <row r="149" spans="2:2" x14ac:dyDescent="0.2">
      <c r="B149" t="s">
        <v>1716</v>
      </c>
    </row>
    <row r="150" spans="2:2" x14ac:dyDescent="0.2">
      <c r="B150" t="s">
        <v>1717</v>
      </c>
    </row>
    <row r="151" spans="2:2" x14ac:dyDescent="0.2">
      <c r="B151" t="s">
        <v>1718</v>
      </c>
    </row>
    <row r="152" spans="2:2" x14ac:dyDescent="0.2">
      <c r="B152" t="s">
        <v>1719</v>
      </c>
    </row>
    <row r="153" spans="2:2" x14ac:dyDescent="0.2">
      <c r="B153" t="s">
        <v>1720</v>
      </c>
    </row>
    <row r="154" spans="2:2" x14ac:dyDescent="0.2">
      <c r="B154" t="s">
        <v>1721</v>
      </c>
    </row>
    <row r="155" spans="2:2" x14ac:dyDescent="0.2">
      <c r="B155" t="s">
        <v>1722</v>
      </c>
    </row>
    <row r="156" spans="2:2" x14ac:dyDescent="0.2">
      <c r="B156" t="s">
        <v>1723</v>
      </c>
    </row>
    <row r="157" spans="2:2" x14ac:dyDescent="0.2">
      <c r="B157" t="s">
        <v>1724</v>
      </c>
    </row>
    <row r="158" spans="2:2" x14ac:dyDescent="0.2">
      <c r="B158" t="s">
        <v>1725</v>
      </c>
    </row>
    <row r="159" spans="2:2" x14ac:dyDescent="0.2">
      <c r="B159" t="s">
        <v>1726</v>
      </c>
    </row>
    <row r="160" spans="2:2" x14ac:dyDescent="0.2">
      <c r="B160" t="s">
        <v>1727</v>
      </c>
    </row>
    <row r="161" spans="2:2" x14ac:dyDescent="0.2">
      <c r="B161" t="s">
        <v>1728</v>
      </c>
    </row>
    <row r="162" spans="2:2" x14ac:dyDescent="0.2">
      <c r="B162" t="s">
        <v>1729</v>
      </c>
    </row>
    <row r="163" spans="2:2" x14ac:dyDescent="0.2">
      <c r="B163" t="s">
        <v>1730</v>
      </c>
    </row>
    <row r="164" spans="2:2" x14ac:dyDescent="0.2">
      <c r="B164" t="s">
        <v>1731</v>
      </c>
    </row>
    <row r="165" spans="2:2" x14ac:dyDescent="0.2">
      <c r="B165" t="s">
        <v>1732</v>
      </c>
    </row>
    <row r="166" spans="2:2" x14ac:dyDescent="0.2">
      <c r="B166" t="s">
        <v>1733</v>
      </c>
    </row>
    <row r="167" spans="2:2" x14ac:dyDescent="0.2">
      <c r="B167" t="s">
        <v>1734</v>
      </c>
    </row>
    <row r="168" spans="2:2" x14ac:dyDescent="0.2">
      <c r="B168" t="s">
        <v>1735</v>
      </c>
    </row>
    <row r="169" spans="2:2" x14ac:dyDescent="0.2">
      <c r="B169" t="s">
        <v>1736</v>
      </c>
    </row>
    <row r="170" spans="2:2" x14ac:dyDescent="0.2">
      <c r="B170" t="s">
        <v>1737</v>
      </c>
    </row>
    <row r="171" spans="2:2" x14ac:dyDescent="0.2">
      <c r="B171" t="s">
        <v>1738</v>
      </c>
    </row>
    <row r="172" spans="2:2" x14ac:dyDescent="0.2">
      <c r="B172" t="s">
        <v>1739</v>
      </c>
    </row>
    <row r="173" spans="2:2" x14ac:dyDescent="0.2">
      <c r="B173" t="s">
        <v>1740</v>
      </c>
    </row>
    <row r="174" spans="2:2" x14ac:dyDescent="0.2">
      <c r="B174" t="s">
        <v>1741</v>
      </c>
    </row>
    <row r="175" spans="2:2" x14ac:dyDescent="0.2">
      <c r="B175" t="s">
        <v>1742</v>
      </c>
    </row>
    <row r="176" spans="2:2" x14ac:dyDescent="0.2">
      <c r="B176" t="s">
        <v>1743</v>
      </c>
    </row>
    <row r="177" spans="2:2" x14ac:dyDescent="0.2">
      <c r="B177" t="s">
        <v>1744</v>
      </c>
    </row>
    <row r="178" spans="2:2" x14ac:dyDescent="0.2">
      <c r="B178" t="s">
        <v>1745</v>
      </c>
    </row>
    <row r="179" spans="2:2" x14ac:dyDescent="0.2">
      <c r="B179" t="s">
        <v>1746</v>
      </c>
    </row>
    <row r="180" spans="2:2" x14ac:dyDescent="0.2">
      <c r="B180" t="s">
        <v>1747</v>
      </c>
    </row>
    <row r="181" spans="2:2" x14ac:dyDescent="0.2">
      <c r="B181" t="s">
        <v>1748</v>
      </c>
    </row>
    <row r="182" spans="2:2" x14ac:dyDescent="0.2">
      <c r="B182" t="s">
        <v>1749</v>
      </c>
    </row>
    <row r="183" spans="2:2" x14ac:dyDescent="0.2">
      <c r="B183" t="s">
        <v>1750</v>
      </c>
    </row>
    <row r="184" spans="2:2" x14ac:dyDescent="0.2">
      <c r="B184" t="s">
        <v>1751</v>
      </c>
    </row>
    <row r="185" spans="2:2" x14ac:dyDescent="0.2">
      <c r="B185" t="s">
        <v>1752</v>
      </c>
    </row>
    <row r="186" spans="2:2" x14ac:dyDescent="0.2">
      <c r="B186" t="s">
        <v>1753</v>
      </c>
    </row>
    <row r="187" spans="2:2" x14ac:dyDescent="0.2">
      <c r="B187" t="s">
        <v>1754</v>
      </c>
    </row>
    <row r="188" spans="2:2" x14ac:dyDescent="0.2">
      <c r="B188" t="s">
        <v>1755</v>
      </c>
    </row>
    <row r="189" spans="2:2" x14ac:dyDescent="0.2">
      <c r="B189" t="s">
        <v>1756</v>
      </c>
    </row>
    <row r="190" spans="2:2" x14ac:dyDescent="0.2">
      <c r="B190" t="s">
        <v>1757</v>
      </c>
    </row>
    <row r="191" spans="2:2" x14ac:dyDescent="0.2">
      <c r="B191" t="s">
        <v>1758</v>
      </c>
    </row>
    <row r="192" spans="2:2" x14ac:dyDescent="0.2">
      <c r="B192" t="s">
        <v>1759</v>
      </c>
    </row>
    <row r="193" spans="2:2" x14ac:dyDescent="0.2">
      <c r="B193" t="s">
        <v>1760</v>
      </c>
    </row>
    <row r="194" spans="2:2" x14ac:dyDescent="0.2">
      <c r="B194" t="s">
        <v>1761</v>
      </c>
    </row>
    <row r="195" spans="2:2" x14ac:dyDescent="0.2">
      <c r="B195" t="s">
        <v>1762</v>
      </c>
    </row>
    <row r="196" spans="2:2" x14ac:dyDescent="0.2">
      <c r="B196" t="s">
        <v>1763</v>
      </c>
    </row>
    <row r="197" spans="2:2" x14ac:dyDescent="0.2">
      <c r="B197" t="s">
        <v>1764</v>
      </c>
    </row>
    <row r="198" spans="2:2" x14ac:dyDescent="0.2">
      <c r="B198" t="s">
        <v>1765</v>
      </c>
    </row>
    <row r="199" spans="2:2" x14ac:dyDescent="0.2">
      <c r="B199" t="s">
        <v>1766</v>
      </c>
    </row>
    <row r="200" spans="2:2" x14ac:dyDescent="0.2">
      <c r="B200" t="s">
        <v>1767</v>
      </c>
    </row>
    <row r="201" spans="2:2" x14ac:dyDescent="0.2">
      <c r="B201" t="s">
        <v>1768</v>
      </c>
    </row>
    <row r="202" spans="2:2" x14ac:dyDescent="0.2">
      <c r="B202" t="s">
        <v>1769</v>
      </c>
    </row>
    <row r="203" spans="2:2" x14ac:dyDescent="0.2">
      <c r="B203" t="s">
        <v>1770</v>
      </c>
    </row>
    <row r="204" spans="2:2" x14ac:dyDescent="0.2">
      <c r="B204" t="s">
        <v>1771</v>
      </c>
    </row>
    <row r="205" spans="2:2" x14ac:dyDescent="0.2">
      <c r="B205" t="s">
        <v>1772</v>
      </c>
    </row>
    <row r="206" spans="2:2" x14ac:dyDescent="0.2">
      <c r="B206" t="s">
        <v>1773</v>
      </c>
    </row>
    <row r="207" spans="2:2" x14ac:dyDescent="0.2">
      <c r="B207" t="s">
        <v>1774</v>
      </c>
    </row>
    <row r="208" spans="2:2" x14ac:dyDescent="0.2">
      <c r="B208" t="s">
        <v>1775</v>
      </c>
    </row>
    <row r="209" spans="2:2" x14ac:dyDescent="0.2">
      <c r="B209" t="s">
        <v>1776</v>
      </c>
    </row>
    <row r="210" spans="2:2" x14ac:dyDescent="0.2">
      <c r="B210" t="s">
        <v>1777</v>
      </c>
    </row>
    <row r="211" spans="2:2" x14ac:dyDescent="0.2">
      <c r="B211" t="s">
        <v>1778</v>
      </c>
    </row>
    <row r="212" spans="2:2" x14ac:dyDescent="0.2">
      <c r="B212" t="s">
        <v>1779</v>
      </c>
    </row>
    <row r="213" spans="2:2" x14ac:dyDescent="0.2">
      <c r="B213" t="s">
        <v>1780</v>
      </c>
    </row>
    <row r="214" spans="2:2" x14ac:dyDescent="0.2">
      <c r="B214" t="s">
        <v>1781</v>
      </c>
    </row>
    <row r="215" spans="2:2" x14ac:dyDescent="0.2">
      <c r="B215" t="s">
        <v>1782</v>
      </c>
    </row>
    <row r="216" spans="2:2" x14ac:dyDescent="0.2">
      <c r="B216" t="s">
        <v>1783</v>
      </c>
    </row>
    <row r="217" spans="2:2" x14ac:dyDescent="0.2">
      <c r="B217" t="s">
        <v>1784</v>
      </c>
    </row>
    <row r="218" spans="2:2" x14ac:dyDescent="0.2">
      <c r="B218" t="s">
        <v>1785</v>
      </c>
    </row>
    <row r="219" spans="2:2" x14ac:dyDescent="0.2">
      <c r="B219" t="s">
        <v>1786</v>
      </c>
    </row>
    <row r="220" spans="2:2" x14ac:dyDescent="0.2">
      <c r="B220" t="s">
        <v>1787</v>
      </c>
    </row>
    <row r="221" spans="2:2" x14ac:dyDescent="0.2">
      <c r="B221" t="s">
        <v>1788</v>
      </c>
    </row>
    <row r="222" spans="2:2" x14ac:dyDescent="0.2">
      <c r="B222" t="s">
        <v>1789</v>
      </c>
    </row>
    <row r="223" spans="2:2" x14ac:dyDescent="0.2">
      <c r="B223" t="s">
        <v>1790</v>
      </c>
    </row>
    <row r="224" spans="2:2" x14ac:dyDescent="0.2">
      <c r="B224" t="s">
        <v>1791</v>
      </c>
    </row>
    <row r="225" spans="2:2" x14ac:dyDescent="0.2">
      <c r="B225" t="s">
        <v>1792</v>
      </c>
    </row>
    <row r="226" spans="2:2" x14ac:dyDescent="0.2">
      <c r="B226" t="s">
        <v>1793</v>
      </c>
    </row>
    <row r="227" spans="2:2" x14ac:dyDescent="0.2">
      <c r="B227" t="s">
        <v>1794</v>
      </c>
    </row>
    <row r="228" spans="2:2" x14ac:dyDescent="0.2">
      <c r="B228" t="s">
        <v>1795</v>
      </c>
    </row>
    <row r="229" spans="2:2" x14ac:dyDescent="0.2">
      <c r="B229" t="s">
        <v>1796</v>
      </c>
    </row>
    <row r="230" spans="2:2" x14ac:dyDescent="0.2">
      <c r="B230" t="s">
        <v>1797</v>
      </c>
    </row>
    <row r="231" spans="2:2" x14ac:dyDescent="0.2">
      <c r="B231" t="s">
        <v>1798</v>
      </c>
    </row>
    <row r="232" spans="2:2" x14ac:dyDescent="0.2">
      <c r="B232" t="s">
        <v>1799</v>
      </c>
    </row>
    <row r="233" spans="2:2" x14ac:dyDescent="0.2">
      <c r="B233" t="s">
        <v>1800</v>
      </c>
    </row>
    <row r="234" spans="2:2" x14ac:dyDescent="0.2">
      <c r="B234" t="s">
        <v>1801</v>
      </c>
    </row>
    <row r="235" spans="2:2" x14ac:dyDescent="0.2">
      <c r="B235" t="s">
        <v>1802</v>
      </c>
    </row>
    <row r="236" spans="2:2" x14ac:dyDescent="0.2">
      <c r="B236" t="s">
        <v>1803</v>
      </c>
    </row>
    <row r="237" spans="2:2" x14ac:dyDescent="0.2">
      <c r="B237" t="s">
        <v>1804</v>
      </c>
    </row>
    <row r="238" spans="2:2" x14ac:dyDescent="0.2">
      <c r="B238" t="s">
        <v>1805</v>
      </c>
    </row>
    <row r="239" spans="2:2" x14ac:dyDescent="0.2">
      <c r="B239" t="s">
        <v>1806</v>
      </c>
    </row>
    <row r="240" spans="2:2" x14ac:dyDescent="0.2">
      <c r="B240" t="s">
        <v>1807</v>
      </c>
    </row>
    <row r="241" spans="2:2" x14ac:dyDescent="0.2">
      <c r="B241" t="s">
        <v>1808</v>
      </c>
    </row>
    <row r="242" spans="2:2" x14ac:dyDescent="0.2">
      <c r="B242" t="s">
        <v>1809</v>
      </c>
    </row>
    <row r="243" spans="2:2" x14ac:dyDescent="0.2">
      <c r="B243" t="s">
        <v>1810</v>
      </c>
    </row>
    <row r="244" spans="2:2" x14ac:dyDescent="0.2">
      <c r="B244" t="s">
        <v>1811</v>
      </c>
    </row>
    <row r="245" spans="2:2" x14ac:dyDescent="0.2">
      <c r="B245" t="s">
        <v>1812</v>
      </c>
    </row>
    <row r="246" spans="2:2" x14ac:dyDescent="0.2">
      <c r="B246" t="s">
        <v>1813</v>
      </c>
    </row>
    <row r="247" spans="2:2" x14ac:dyDescent="0.2">
      <c r="B247" t="s">
        <v>1814</v>
      </c>
    </row>
    <row r="248" spans="2:2" x14ac:dyDescent="0.2">
      <c r="B248" t="s">
        <v>1815</v>
      </c>
    </row>
    <row r="249" spans="2:2" x14ac:dyDescent="0.2">
      <c r="B249" t="s">
        <v>1816</v>
      </c>
    </row>
    <row r="250" spans="2:2" x14ac:dyDescent="0.2">
      <c r="B250" t="s">
        <v>1817</v>
      </c>
    </row>
    <row r="251" spans="2:2" x14ac:dyDescent="0.2">
      <c r="B251" t="s">
        <v>1818</v>
      </c>
    </row>
    <row r="252" spans="2:2" x14ac:dyDescent="0.2">
      <c r="B252" t="s">
        <v>1819</v>
      </c>
    </row>
    <row r="253" spans="2:2" x14ac:dyDescent="0.2">
      <c r="B253" t="s">
        <v>1820</v>
      </c>
    </row>
    <row r="254" spans="2:2" x14ac:dyDescent="0.2">
      <c r="B254" t="s">
        <v>1821</v>
      </c>
    </row>
    <row r="255" spans="2:2" x14ac:dyDescent="0.2">
      <c r="B255" t="s">
        <v>1822</v>
      </c>
    </row>
    <row r="256" spans="2:2" x14ac:dyDescent="0.2">
      <c r="B256" t="s">
        <v>1823</v>
      </c>
    </row>
    <row r="257" spans="2:2" x14ac:dyDescent="0.2">
      <c r="B257" t="s">
        <v>1824</v>
      </c>
    </row>
    <row r="258" spans="2:2" x14ac:dyDescent="0.2">
      <c r="B258" t="s">
        <v>1825</v>
      </c>
    </row>
    <row r="259" spans="2:2" x14ac:dyDescent="0.2">
      <c r="B259" t="s">
        <v>1826</v>
      </c>
    </row>
    <row r="260" spans="2:2" x14ac:dyDescent="0.2">
      <c r="B260" t="s">
        <v>1827</v>
      </c>
    </row>
    <row r="261" spans="2:2" x14ac:dyDescent="0.2">
      <c r="B261" t="s">
        <v>1828</v>
      </c>
    </row>
    <row r="262" spans="2:2" x14ac:dyDescent="0.2">
      <c r="B262" t="s">
        <v>1829</v>
      </c>
    </row>
    <row r="263" spans="2:2" x14ac:dyDescent="0.2">
      <c r="B263" t="s">
        <v>1830</v>
      </c>
    </row>
    <row r="264" spans="2:2" x14ac:dyDescent="0.2">
      <c r="B264" t="s">
        <v>1831</v>
      </c>
    </row>
    <row r="265" spans="2:2" x14ac:dyDescent="0.2">
      <c r="B265" t="s">
        <v>1832</v>
      </c>
    </row>
    <row r="266" spans="2:2" x14ac:dyDescent="0.2">
      <c r="B266" t="s">
        <v>1833</v>
      </c>
    </row>
    <row r="267" spans="2:2" x14ac:dyDescent="0.2">
      <c r="B267" t="s">
        <v>1834</v>
      </c>
    </row>
    <row r="268" spans="2:2" x14ac:dyDescent="0.2">
      <c r="B268" t="s">
        <v>1835</v>
      </c>
    </row>
    <row r="269" spans="2:2" x14ac:dyDescent="0.2">
      <c r="B269" t="s">
        <v>1836</v>
      </c>
    </row>
    <row r="270" spans="2:2" x14ac:dyDescent="0.2">
      <c r="B270" t="s">
        <v>1837</v>
      </c>
    </row>
    <row r="271" spans="2:2" x14ac:dyDescent="0.2">
      <c r="B271" t="s">
        <v>1838</v>
      </c>
    </row>
    <row r="272" spans="2:2" x14ac:dyDescent="0.2">
      <c r="B272" t="s">
        <v>1839</v>
      </c>
    </row>
    <row r="273" spans="2:2" x14ac:dyDescent="0.2">
      <c r="B273" t="s">
        <v>1840</v>
      </c>
    </row>
    <row r="274" spans="2:2" x14ac:dyDescent="0.2">
      <c r="B274" t="s">
        <v>1841</v>
      </c>
    </row>
    <row r="275" spans="2:2" x14ac:dyDescent="0.2">
      <c r="B275" t="s">
        <v>1842</v>
      </c>
    </row>
    <row r="276" spans="2:2" x14ac:dyDescent="0.2">
      <c r="B276" t="s">
        <v>1843</v>
      </c>
    </row>
    <row r="277" spans="2:2" x14ac:dyDescent="0.2">
      <c r="B277" t="s">
        <v>1844</v>
      </c>
    </row>
    <row r="278" spans="2:2" x14ac:dyDescent="0.2">
      <c r="B278" t="s">
        <v>1845</v>
      </c>
    </row>
    <row r="279" spans="2:2" x14ac:dyDescent="0.2">
      <c r="B279" t="s">
        <v>1846</v>
      </c>
    </row>
    <row r="280" spans="2:2" x14ac:dyDescent="0.2">
      <c r="B280" t="s">
        <v>1847</v>
      </c>
    </row>
    <row r="281" spans="2:2" x14ac:dyDescent="0.2">
      <c r="B281" t="s">
        <v>1848</v>
      </c>
    </row>
    <row r="282" spans="2:2" x14ac:dyDescent="0.2">
      <c r="B282" t="s">
        <v>1849</v>
      </c>
    </row>
    <row r="283" spans="2:2" x14ac:dyDescent="0.2">
      <c r="B283" t="s">
        <v>1850</v>
      </c>
    </row>
    <row r="284" spans="2:2" x14ac:dyDescent="0.2">
      <c r="B284" t="s">
        <v>1851</v>
      </c>
    </row>
    <row r="285" spans="2:2" x14ac:dyDescent="0.2">
      <c r="B285" t="s">
        <v>1852</v>
      </c>
    </row>
    <row r="286" spans="2:2" x14ac:dyDescent="0.2">
      <c r="B286" t="s">
        <v>1853</v>
      </c>
    </row>
    <row r="287" spans="2:2" x14ac:dyDescent="0.2">
      <c r="B287" t="s">
        <v>1854</v>
      </c>
    </row>
    <row r="288" spans="2:2" x14ac:dyDescent="0.2">
      <c r="B288" t="s">
        <v>1855</v>
      </c>
    </row>
    <row r="289" spans="2:2" x14ac:dyDescent="0.2">
      <c r="B289" t="s">
        <v>1856</v>
      </c>
    </row>
    <row r="290" spans="2:2" x14ac:dyDescent="0.2">
      <c r="B290" t="s">
        <v>1857</v>
      </c>
    </row>
    <row r="291" spans="2:2" x14ac:dyDescent="0.2">
      <c r="B291" t="s">
        <v>1858</v>
      </c>
    </row>
    <row r="292" spans="2:2" x14ac:dyDescent="0.2">
      <c r="B292" t="s">
        <v>1859</v>
      </c>
    </row>
    <row r="293" spans="2:2" x14ac:dyDescent="0.2">
      <c r="B293" t="s">
        <v>1860</v>
      </c>
    </row>
    <row r="294" spans="2:2" x14ac:dyDescent="0.2">
      <c r="B294" t="s">
        <v>1861</v>
      </c>
    </row>
    <row r="295" spans="2:2" x14ac:dyDescent="0.2">
      <c r="B295" t="s">
        <v>1862</v>
      </c>
    </row>
    <row r="296" spans="2:2" x14ac:dyDescent="0.2">
      <c r="B296" t="s">
        <v>1863</v>
      </c>
    </row>
    <row r="297" spans="2:2" x14ac:dyDescent="0.2">
      <c r="B297" t="s">
        <v>1864</v>
      </c>
    </row>
    <row r="298" spans="2:2" x14ac:dyDescent="0.2">
      <c r="B298" t="s">
        <v>1865</v>
      </c>
    </row>
    <row r="299" spans="2:2" x14ac:dyDescent="0.2">
      <c r="B299" t="s">
        <v>1866</v>
      </c>
    </row>
    <row r="300" spans="2:2" x14ac:dyDescent="0.2">
      <c r="B300" t="s">
        <v>1867</v>
      </c>
    </row>
    <row r="301" spans="2:2" x14ac:dyDescent="0.2">
      <c r="B301" t="s">
        <v>1868</v>
      </c>
    </row>
    <row r="302" spans="2:2" x14ac:dyDescent="0.2">
      <c r="B302" t="s">
        <v>1869</v>
      </c>
    </row>
    <row r="303" spans="2:2" x14ac:dyDescent="0.2">
      <c r="B303" t="s">
        <v>1870</v>
      </c>
    </row>
    <row r="304" spans="2:2" x14ac:dyDescent="0.2">
      <c r="B304" t="s">
        <v>1871</v>
      </c>
    </row>
    <row r="305" spans="2:2" x14ac:dyDescent="0.2">
      <c r="B305" t="s">
        <v>1872</v>
      </c>
    </row>
    <row r="306" spans="2:2" x14ac:dyDescent="0.2">
      <c r="B306" t="s">
        <v>1873</v>
      </c>
    </row>
    <row r="307" spans="2:2" x14ac:dyDescent="0.2">
      <c r="B307" t="s">
        <v>1874</v>
      </c>
    </row>
    <row r="308" spans="2:2" x14ac:dyDescent="0.2">
      <c r="B308" t="s">
        <v>1875</v>
      </c>
    </row>
    <row r="309" spans="2:2" x14ac:dyDescent="0.2">
      <c r="B309" t="s">
        <v>1876</v>
      </c>
    </row>
    <row r="310" spans="2:2" x14ac:dyDescent="0.2">
      <c r="B310" t="s">
        <v>1877</v>
      </c>
    </row>
    <row r="311" spans="2:2" x14ac:dyDescent="0.2">
      <c r="B311" t="s">
        <v>1878</v>
      </c>
    </row>
    <row r="312" spans="2:2" x14ac:dyDescent="0.2">
      <c r="B312" t="s">
        <v>1879</v>
      </c>
    </row>
    <row r="313" spans="2:2" x14ac:dyDescent="0.2">
      <c r="B313" t="s">
        <v>1880</v>
      </c>
    </row>
    <row r="314" spans="2:2" x14ac:dyDescent="0.2">
      <c r="B314" t="s">
        <v>1881</v>
      </c>
    </row>
    <row r="315" spans="2:2" x14ac:dyDescent="0.2">
      <c r="B315" t="s">
        <v>1882</v>
      </c>
    </row>
    <row r="316" spans="2:2" x14ac:dyDescent="0.2">
      <c r="B316" t="s">
        <v>1883</v>
      </c>
    </row>
    <row r="317" spans="2:2" x14ac:dyDescent="0.2">
      <c r="B317" t="s">
        <v>1884</v>
      </c>
    </row>
    <row r="318" spans="2:2" x14ac:dyDescent="0.2">
      <c r="B318" t="s">
        <v>1885</v>
      </c>
    </row>
    <row r="319" spans="2:2" x14ac:dyDescent="0.2">
      <c r="B319" t="s">
        <v>1886</v>
      </c>
    </row>
    <row r="320" spans="2:2" x14ac:dyDescent="0.2">
      <c r="B320" t="s">
        <v>1887</v>
      </c>
    </row>
    <row r="321" spans="2:2" x14ac:dyDescent="0.2">
      <c r="B321" t="s">
        <v>1888</v>
      </c>
    </row>
    <row r="322" spans="2:2" x14ac:dyDescent="0.2">
      <c r="B322" t="s">
        <v>1889</v>
      </c>
    </row>
    <row r="323" spans="2:2" x14ac:dyDescent="0.2">
      <c r="B323" t="s">
        <v>1890</v>
      </c>
    </row>
    <row r="324" spans="2:2" x14ac:dyDescent="0.2">
      <c r="B324" t="s">
        <v>1891</v>
      </c>
    </row>
    <row r="325" spans="2:2" x14ac:dyDescent="0.2">
      <c r="B325" t="s">
        <v>1892</v>
      </c>
    </row>
    <row r="326" spans="2:2" x14ac:dyDescent="0.2">
      <c r="B326" t="s">
        <v>1893</v>
      </c>
    </row>
    <row r="327" spans="2:2" x14ac:dyDescent="0.2">
      <c r="B327" t="s">
        <v>1894</v>
      </c>
    </row>
    <row r="328" spans="2:2" x14ac:dyDescent="0.2">
      <c r="B328" t="s">
        <v>1895</v>
      </c>
    </row>
    <row r="329" spans="2:2" x14ac:dyDescent="0.2">
      <c r="B329" t="s">
        <v>1896</v>
      </c>
    </row>
    <row r="330" spans="2:2" x14ac:dyDescent="0.2">
      <c r="B330" t="s">
        <v>1897</v>
      </c>
    </row>
    <row r="331" spans="2:2" x14ac:dyDescent="0.2">
      <c r="B331" t="s">
        <v>1898</v>
      </c>
    </row>
    <row r="332" spans="2:2" x14ac:dyDescent="0.2">
      <c r="B332" t="s">
        <v>1899</v>
      </c>
    </row>
    <row r="333" spans="2:2" x14ac:dyDescent="0.2">
      <c r="B333" t="s">
        <v>1900</v>
      </c>
    </row>
    <row r="334" spans="2:2" x14ac:dyDescent="0.2">
      <c r="B334" t="s">
        <v>1901</v>
      </c>
    </row>
    <row r="335" spans="2:2" x14ac:dyDescent="0.2">
      <c r="B335" t="s">
        <v>1902</v>
      </c>
    </row>
    <row r="336" spans="2:2" x14ac:dyDescent="0.2">
      <c r="B336" t="s">
        <v>1903</v>
      </c>
    </row>
    <row r="337" spans="2:2" x14ac:dyDescent="0.2">
      <c r="B337" t="s">
        <v>1904</v>
      </c>
    </row>
    <row r="338" spans="2:2" x14ac:dyDescent="0.2">
      <c r="B338" t="s">
        <v>1905</v>
      </c>
    </row>
    <row r="339" spans="2:2" x14ac:dyDescent="0.2">
      <c r="B339" t="s">
        <v>1906</v>
      </c>
    </row>
    <row r="340" spans="2:2" x14ac:dyDescent="0.2">
      <c r="B340" t="s">
        <v>1907</v>
      </c>
    </row>
    <row r="341" spans="2:2" x14ac:dyDescent="0.2">
      <c r="B341" t="s">
        <v>1908</v>
      </c>
    </row>
    <row r="342" spans="2:2" x14ac:dyDescent="0.2">
      <c r="B342" t="s">
        <v>1909</v>
      </c>
    </row>
    <row r="343" spans="2:2" x14ac:dyDescent="0.2">
      <c r="B343" t="s">
        <v>1910</v>
      </c>
    </row>
    <row r="344" spans="2:2" x14ac:dyDescent="0.2">
      <c r="B344" t="s">
        <v>1911</v>
      </c>
    </row>
    <row r="345" spans="2:2" x14ac:dyDescent="0.2">
      <c r="B345" t="s">
        <v>1912</v>
      </c>
    </row>
    <row r="346" spans="2:2" x14ac:dyDescent="0.2">
      <c r="B346" t="s">
        <v>1913</v>
      </c>
    </row>
    <row r="347" spans="2:2" x14ac:dyDescent="0.2">
      <c r="B347" t="s">
        <v>1914</v>
      </c>
    </row>
    <row r="348" spans="2:2" x14ac:dyDescent="0.2">
      <c r="B348" t="s">
        <v>1915</v>
      </c>
    </row>
    <row r="349" spans="2:2" x14ac:dyDescent="0.2">
      <c r="B349" t="s">
        <v>1916</v>
      </c>
    </row>
    <row r="350" spans="2:2" x14ac:dyDescent="0.2">
      <c r="B350" t="s">
        <v>1917</v>
      </c>
    </row>
    <row r="351" spans="2:2" x14ac:dyDescent="0.2">
      <c r="B351" t="s">
        <v>1918</v>
      </c>
    </row>
    <row r="352" spans="2:2" x14ac:dyDescent="0.2">
      <c r="B352" t="s">
        <v>1919</v>
      </c>
    </row>
    <row r="353" spans="2:2" x14ac:dyDescent="0.2">
      <c r="B353" t="s">
        <v>1920</v>
      </c>
    </row>
    <row r="354" spans="2:2" x14ac:dyDescent="0.2">
      <c r="B354" t="s">
        <v>1921</v>
      </c>
    </row>
    <row r="355" spans="2:2" x14ac:dyDescent="0.2">
      <c r="B355" t="s">
        <v>1922</v>
      </c>
    </row>
    <row r="356" spans="2:2" x14ac:dyDescent="0.2">
      <c r="B356" t="s">
        <v>1923</v>
      </c>
    </row>
    <row r="357" spans="2:2" x14ac:dyDescent="0.2">
      <c r="B357" t="s">
        <v>1924</v>
      </c>
    </row>
    <row r="358" spans="2:2" x14ac:dyDescent="0.2">
      <c r="B358" t="s">
        <v>1925</v>
      </c>
    </row>
    <row r="359" spans="2:2" x14ac:dyDescent="0.2">
      <c r="B359" t="s">
        <v>1926</v>
      </c>
    </row>
    <row r="360" spans="2:2" x14ac:dyDescent="0.2">
      <c r="B360" t="s">
        <v>1927</v>
      </c>
    </row>
    <row r="361" spans="2:2" x14ac:dyDescent="0.2">
      <c r="B361" t="s">
        <v>1928</v>
      </c>
    </row>
    <row r="362" spans="2:2" x14ac:dyDescent="0.2">
      <c r="B362" t="s">
        <v>1929</v>
      </c>
    </row>
    <row r="363" spans="2:2" x14ac:dyDescent="0.2">
      <c r="B363" t="s">
        <v>1930</v>
      </c>
    </row>
    <row r="364" spans="2:2" x14ac:dyDescent="0.2">
      <c r="B364" t="s">
        <v>1931</v>
      </c>
    </row>
    <row r="365" spans="2:2" x14ac:dyDescent="0.2">
      <c r="B365" t="s">
        <v>1932</v>
      </c>
    </row>
    <row r="366" spans="2:2" x14ac:dyDescent="0.2">
      <c r="B366" t="s">
        <v>1933</v>
      </c>
    </row>
    <row r="367" spans="2:2" x14ac:dyDescent="0.2">
      <c r="B367" t="s">
        <v>1934</v>
      </c>
    </row>
    <row r="368" spans="2:2" x14ac:dyDescent="0.2">
      <c r="B368" t="s">
        <v>1935</v>
      </c>
    </row>
    <row r="369" spans="2:2" x14ac:dyDescent="0.2">
      <c r="B369" t="s">
        <v>1936</v>
      </c>
    </row>
    <row r="370" spans="2:2" x14ac:dyDescent="0.2">
      <c r="B370" t="s">
        <v>1937</v>
      </c>
    </row>
    <row r="371" spans="2:2" x14ac:dyDescent="0.2">
      <c r="B371" t="s">
        <v>1938</v>
      </c>
    </row>
    <row r="372" spans="2:2" x14ac:dyDescent="0.2">
      <c r="B372" t="s">
        <v>1939</v>
      </c>
    </row>
    <row r="373" spans="2:2" x14ac:dyDescent="0.2">
      <c r="B373" t="s">
        <v>1940</v>
      </c>
    </row>
    <row r="374" spans="2:2" x14ac:dyDescent="0.2">
      <c r="B374" t="s">
        <v>1941</v>
      </c>
    </row>
    <row r="375" spans="2:2" x14ac:dyDescent="0.2">
      <c r="B375" t="s">
        <v>1942</v>
      </c>
    </row>
    <row r="376" spans="2:2" x14ac:dyDescent="0.2">
      <c r="B376" t="s">
        <v>1943</v>
      </c>
    </row>
    <row r="377" spans="2:2" x14ac:dyDescent="0.2">
      <c r="B377" t="s">
        <v>1944</v>
      </c>
    </row>
    <row r="378" spans="2:2" x14ac:dyDescent="0.2">
      <c r="B378" t="s">
        <v>1945</v>
      </c>
    </row>
    <row r="379" spans="2:2" x14ac:dyDescent="0.2">
      <c r="B379" t="s">
        <v>1946</v>
      </c>
    </row>
    <row r="380" spans="2:2" x14ac:dyDescent="0.2">
      <c r="B380" t="s">
        <v>1947</v>
      </c>
    </row>
    <row r="381" spans="2:2" x14ac:dyDescent="0.2">
      <c r="B381" t="s">
        <v>1948</v>
      </c>
    </row>
    <row r="382" spans="2:2" x14ac:dyDescent="0.2">
      <c r="B382" t="s">
        <v>1949</v>
      </c>
    </row>
    <row r="383" spans="2:2" x14ac:dyDescent="0.2">
      <c r="B383" t="s">
        <v>1950</v>
      </c>
    </row>
    <row r="384" spans="2:2" x14ac:dyDescent="0.2">
      <c r="B384" t="s">
        <v>1951</v>
      </c>
    </row>
    <row r="385" spans="2:2" x14ac:dyDescent="0.2">
      <c r="B385" t="s">
        <v>1952</v>
      </c>
    </row>
    <row r="386" spans="2:2" x14ac:dyDescent="0.2">
      <c r="B386" t="s">
        <v>1953</v>
      </c>
    </row>
    <row r="387" spans="2:2" x14ac:dyDescent="0.2">
      <c r="B387" t="s">
        <v>1954</v>
      </c>
    </row>
    <row r="388" spans="2:2" x14ac:dyDescent="0.2">
      <c r="B388" t="s">
        <v>1955</v>
      </c>
    </row>
    <row r="389" spans="2:2" x14ac:dyDescent="0.2">
      <c r="B389" t="s">
        <v>1956</v>
      </c>
    </row>
    <row r="390" spans="2:2" x14ac:dyDescent="0.2">
      <c r="B390" t="s">
        <v>1957</v>
      </c>
    </row>
    <row r="391" spans="2:2" x14ac:dyDescent="0.2">
      <c r="B391" t="s">
        <v>1958</v>
      </c>
    </row>
    <row r="392" spans="2:2" x14ac:dyDescent="0.2">
      <c r="B392" t="s">
        <v>1959</v>
      </c>
    </row>
    <row r="393" spans="2:2" x14ac:dyDescent="0.2">
      <c r="B393" t="s">
        <v>1960</v>
      </c>
    </row>
    <row r="394" spans="2:2" x14ac:dyDescent="0.2">
      <c r="B394" t="s">
        <v>1961</v>
      </c>
    </row>
    <row r="395" spans="2:2" x14ac:dyDescent="0.2">
      <c r="B395" t="s">
        <v>1962</v>
      </c>
    </row>
    <row r="396" spans="2:2" x14ac:dyDescent="0.2">
      <c r="B396" t="s">
        <v>1963</v>
      </c>
    </row>
    <row r="397" spans="2:2" x14ac:dyDescent="0.2">
      <c r="B397" t="s">
        <v>1964</v>
      </c>
    </row>
    <row r="398" spans="2:2" x14ac:dyDescent="0.2">
      <c r="B398" t="s">
        <v>1965</v>
      </c>
    </row>
    <row r="399" spans="2:2" x14ac:dyDescent="0.2">
      <c r="B399" t="s">
        <v>1966</v>
      </c>
    </row>
    <row r="400" spans="2:2" x14ac:dyDescent="0.2">
      <c r="B400" t="s">
        <v>1967</v>
      </c>
    </row>
    <row r="401" spans="2:2" x14ac:dyDescent="0.2">
      <c r="B401" t="s">
        <v>1968</v>
      </c>
    </row>
    <row r="402" spans="2:2" x14ac:dyDescent="0.2">
      <c r="B402" t="s">
        <v>1969</v>
      </c>
    </row>
    <row r="403" spans="2:2" x14ac:dyDescent="0.2">
      <c r="B403" t="s">
        <v>1970</v>
      </c>
    </row>
    <row r="404" spans="2:2" x14ac:dyDescent="0.2">
      <c r="B404" t="s">
        <v>1971</v>
      </c>
    </row>
    <row r="405" spans="2:2" x14ac:dyDescent="0.2">
      <c r="B405" t="s">
        <v>1972</v>
      </c>
    </row>
    <row r="406" spans="2:2" x14ac:dyDescent="0.2">
      <c r="B406" t="s">
        <v>1973</v>
      </c>
    </row>
    <row r="407" spans="2:2" x14ac:dyDescent="0.2">
      <c r="B407" t="s">
        <v>1974</v>
      </c>
    </row>
    <row r="408" spans="2:2" x14ac:dyDescent="0.2">
      <c r="B408" t="s">
        <v>1975</v>
      </c>
    </row>
    <row r="409" spans="2:2" x14ac:dyDescent="0.2">
      <c r="B409" t="s">
        <v>1976</v>
      </c>
    </row>
    <row r="410" spans="2:2" x14ac:dyDescent="0.2">
      <c r="B410" t="s">
        <v>1977</v>
      </c>
    </row>
    <row r="411" spans="2:2" x14ac:dyDescent="0.2">
      <c r="B411" t="s">
        <v>1978</v>
      </c>
    </row>
    <row r="412" spans="2:2" x14ac:dyDescent="0.2">
      <c r="B412" t="s">
        <v>1979</v>
      </c>
    </row>
    <row r="413" spans="2:2" x14ac:dyDescent="0.2">
      <c r="B413" t="s">
        <v>1980</v>
      </c>
    </row>
    <row r="414" spans="2:2" x14ac:dyDescent="0.2">
      <c r="B414" t="s">
        <v>1981</v>
      </c>
    </row>
    <row r="415" spans="2:2" x14ac:dyDescent="0.2">
      <c r="B415" t="s">
        <v>1982</v>
      </c>
    </row>
    <row r="416" spans="2:2" x14ac:dyDescent="0.2">
      <c r="B416" t="s">
        <v>1983</v>
      </c>
    </row>
    <row r="417" spans="2:2" x14ac:dyDescent="0.2">
      <c r="B417" t="s">
        <v>1984</v>
      </c>
    </row>
    <row r="418" spans="2:2" x14ac:dyDescent="0.2">
      <c r="B418" t="s">
        <v>1985</v>
      </c>
    </row>
    <row r="419" spans="2:2" x14ac:dyDescent="0.2">
      <c r="B419" t="s">
        <v>1986</v>
      </c>
    </row>
    <row r="420" spans="2:2" x14ac:dyDescent="0.2">
      <c r="B420" t="s">
        <v>1987</v>
      </c>
    </row>
    <row r="421" spans="2:2" x14ac:dyDescent="0.2">
      <c r="B421" t="s">
        <v>1988</v>
      </c>
    </row>
    <row r="422" spans="2:2" x14ac:dyDescent="0.2">
      <c r="B422" t="s">
        <v>1989</v>
      </c>
    </row>
    <row r="423" spans="2:2" x14ac:dyDescent="0.2">
      <c r="B423" t="s">
        <v>1990</v>
      </c>
    </row>
    <row r="424" spans="2:2" x14ac:dyDescent="0.2">
      <c r="B424" t="s">
        <v>1991</v>
      </c>
    </row>
    <row r="425" spans="2:2" x14ac:dyDescent="0.2">
      <c r="B425" t="s">
        <v>1992</v>
      </c>
    </row>
    <row r="426" spans="2:2" x14ac:dyDescent="0.2">
      <c r="B426" t="s">
        <v>1993</v>
      </c>
    </row>
    <row r="427" spans="2:2" x14ac:dyDescent="0.2">
      <c r="B427" t="s">
        <v>1994</v>
      </c>
    </row>
    <row r="428" spans="2:2" x14ac:dyDescent="0.2">
      <c r="B428" t="s">
        <v>1995</v>
      </c>
    </row>
    <row r="429" spans="2:2" x14ac:dyDescent="0.2">
      <c r="B429" t="s">
        <v>1996</v>
      </c>
    </row>
    <row r="430" spans="2:2" x14ac:dyDescent="0.2">
      <c r="B430" t="s">
        <v>1997</v>
      </c>
    </row>
    <row r="431" spans="2:2" x14ac:dyDescent="0.2">
      <c r="B431" t="s">
        <v>1998</v>
      </c>
    </row>
    <row r="432" spans="2:2" x14ac:dyDescent="0.2">
      <c r="B432" t="s">
        <v>1999</v>
      </c>
    </row>
    <row r="433" spans="2:2" x14ac:dyDescent="0.2">
      <c r="B433" t="s">
        <v>2000</v>
      </c>
    </row>
    <row r="434" spans="2:2" x14ac:dyDescent="0.2">
      <c r="B434" t="s">
        <v>2001</v>
      </c>
    </row>
    <row r="435" spans="2:2" x14ac:dyDescent="0.2">
      <c r="B435" t="s">
        <v>2002</v>
      </c>
    </row>
    <row r="436" spans="2:2" x14ac:dyDescent="0.2">
      <c r="B436" t="s">
        <v>2003</v>
      </c>
    </row>
    <row r="437" spans="2:2" x14ac:dyDescent="0.2">
      <c r="B437" t="s">
        <v>2004</v>
      </c>
    </row>
    <row r="438" spans="2:2" x14ac:dyDescent="0.2">
      <c r="B438" t="s">
        <v>2005</v>
      </c>
    </row>
    <row r="439" spans="2:2" x14ac:dyDescent="0.2">
      <c r="B439" t="s">
        <v>2006</v>
      </c>
    </row>
    <row r="440" spans="2:2" x14ac:dyDescent="0.2">
      <c r="B440" t="s">
        <v>2007</v>
      </c>
    </row>
    <row r="441" spans="2:2" x14ac:dyDescent="0.2">
      <c r="B441" t="s">
        <v>2008</v>
      </c>
    </row>
    <row r="442" spans="2:2" x14ac:dyDescent="0.2">
      <c r="B442" t="s">
        <v>2009</v>
      </c>
    </row>
    <row r="443" spans="2:2" x14ac:dyDescent="0.2">
      <c r="B443" t="s">
        <v>2010</v>
      </c>
    </row>
    <row r="444" spans="2:2" x14ac:dyDescent="0.2">
      <c r="B444" t="s">
        <v>2011</v>
      </c>
    </row>
    <row r="445" spans="2:2" x14ac:dyDescent="0.2">
      <c r="B445" t="s">
        <v>2012</v>
      </c>
    </row>
    <row r="446" spans="2:2" x14ac:dyDescent="0.2">
      <c r="B446" t="s">
        <v>2013</v>
      </c>
    </row>
    <row r="447" spans="2:2" x14ac:dyDescent="0.2">
      <c r="B447" t="s">
        <v>2014</v>
      </c>
    </row>
    <row r="448" spans="2:2" x14ac:dyDescent="0.2">
      <c r="B448" t="s">
        <v>2015</v>
      </c>
    </row>
    <row r="449" spans="2:2" x14ac:dyDescent="0.2">
      <c r="B449" t="s">
        <v>2016</v>
      </c>
    </row>
    <row r="450" spans="2:2" x14ac:dyDescent="0.2">
      <c r="B450" t="s">
        <v>2017</v>
      </c>
    </row>
    <row r="451" spans="2:2" x14ac:dyDescent="0.2">
      <c r="B451" t="s">
        <v>2018</v>
      </c>
    </row>
    <row r="452" spans="2:2" x14ac:dyDescent="0.2">
      <c r="B452" t="s">
        <v>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2020</v>
      </c>
    </row>
    <row r="3" spans="1:2" x14ac:dyDescent="0.2">
      <c r="B3" t="s">
        <v>2021</v>
      </c>
    </row>
    <row r="4" spans="1:2" x14ac:dyDescent="0.2">
      <c r="B4" t="s">
        <v>2022</v>
      </c>
    </row>
    <row r="5" spans="1:2" x14ac:dyDescent="0.2">
      <c r="B5" t="s">
        <v>2023</v>
      </c>
    </row>
    <row r="6" spans="1:2" x14ac:dyDescent="0.2">
      <c r="B6" t="s">
        <v>2024</v>
      </c>
    </row>
    <row r="7" spans="1:2" x14ac:dyDescent="0.2">
      <c r="B7" t="s">
        <v>2025</v>
      </c>
    </row>
    <row r="8" spans="1:2" x14ac:dyDescent="0.2">
      <c r="B8" t="s">
        <v>2026</v>
      </c>
    </row>
    <row r="9" spans="1:2" x14ac:dyDescent="0.2">
      <c r="B9" t="s">
        <v>2027</v>
      </c>
    </row>
    <row r="10" spans="1:2" x14ac:dyDescent="0.2">
      <c r="B10" t="s">
        <v>2028</v>
      </c>
    </row>
    <row r="11" spans="1:2" x14ac:dyDescent="0.2">
      <c r="B11" t="s">
        <v>2029</v>
      </c>
    </row>
    <row r="12" spans="1:2" x14ac:dyDescent="0.2">
      <c r="B12" t="s">
        <v>2030</v>
      </c>
    </row>
    <row r="13" spans="1:2" x14ac:dyDescent="0.2">
      <c r="B13" t="s">
        <v>2031</v>
      </c>
    </row>
    <row r="14" spans="1:2" x14ac:dyDescent="0.2">
      <c r="B14" t="s">
        <v>2032</v>
      </c>
    </row>
    <row r="15" spans="1:2" x14ac:dyDescent="0.2">
      <c r="B15" t="s">
        <v>2033</v>
      </c>
    </row>
    <row r="16" spans="1:2" x14ac:dyDescent="0.2">
      <c r="B16" t="s">
        <v>2034</v>
      </c>
    </row>
    <row r="17" spans="2:2" x14ac:dyDescent="0.2">
      <c r="B17" t="s">
        <v>2035</v>
      </c>
    </row>
    <row r="18" spans="2:2" x14ac:dyDescent="0.2">
      <c r="B18" t="s">
        <v>2036</v>
      </c>
    </row>
    <row r="19" spans="2:2" x14ac:dyDescent="0.2">
      <c r="B19" t="s">
        <v>2037</v>
      </c>
    </row>
    <row r="20" spans="2:2" x14ac:dyDescent="0.2">
      <c r="B20" t="s">
        <v>2038</v>
      </c>
    </row>
    <row r="21" spans="2:2" x14ac:dyDescent="0.2">
      <c r="B21" t="s">
        <v>2039</v>
      </c>
    </row>
    <row r="22" spans="2:2" x14ac:dyDescent="0.2">
      <c r="B22" t="s">
        <v>2040</v>
      </c>
    </row>
    <row r="23" spans="2:2" x14ac:dyDescent="0.2">
      <c r="B23" t="s">
        <v>2041</v>
      </c>
    </row>
    <row r="24" spans="2:2" x14ac:dyDescent="0.2">
      <c r="B24" t="s">
        <v>2042</v>
      </c>
    </row>
    <row r="25" spans="2:2" x14ac:dyDescent="0.2">
      <c r="B25" t="s">
        <v>2043</v>
      </c>
    </row>
    <row r="26" spans="2:2" x14ac:dyDescent="0.2">
      <c r="B26" t="s">
        <v>2044</v>
      </c>
    </row>
    <row r="27" spans="2:2" x14ac:dyDescent="0.2">
      <c r="B27" t="s">
        <v>2045</v>
      </c>
    </row>
    <row r="28" spans="2:2" x14ac:dyDescent="0.2">
      <c r="B28" t="s">
        <v>2046</v>
      </c>
    </row>
    <row r="29" spans="2:2" x14ac:dyDescent="0.2">
      <c r="B29" t="s">
        <v>2047</v>
      </c>
    </row>
    <row r="30" spans="2:2" x14ac:dyDescent="0.2">
      <c r="B30" t="s">
        <v>2048</v>
      </c>
    </row>
    <row r="31" spans="2:2" x14ac:dyDescent="0.2">
      <c r="B31" t="s">
        <v>2049</v>
      </c>
    </row>
    <row r="32" spans="2:2" x14ac:dyDescent="0.2">
      <c r="B32" t="s">
        <v>2050</v>
      </c>
    </row>
    <row r="33" spans="2:2" x14ac:dyDescent="0.2">
      <c r="B33" t="s">
        <v>2051</v>
      </c>
    </row>
    <row r="34" spans="2:2" x14ac:dyDescent="0.2">
      <c r="B34" t="s">
        <v>2052</v>
      </c>
    </row>
    <row r="35" spans="2:2" x14ac:dyDescent="0.2">
      <c r="B35" t="s">
        <v>2053</v>
      </c>
    </row>
    <row r="36" spans="2:2" x14ac:dyDescent="0.2">
      <c r="B36" t="s">
        <v>2054</v>
      </c>
    </row>
    <row r="37" spans="2:2" x14ac:dyDescent="0.2">
      <c r="B37" t="s">
        <v>2055</v>
      </c>
    </row>
    <row r="38" spans="2:2" x14ac:dyDescent="0.2">
      <c r="B38" t="s">
        <v>2056</v>
      </c>
    </row>
    <row r="39" spans="2:2" x14ac:dyDescent="0.2">
      <c r="B39" t="s">
        <v>2057</v>
      </c>
    </row>
    <row r="40" spans="2:2" x14ac:dyDescent="0.2">
      <c r="B40" t="s">
        <v>2058</v>
      </c>
    </row>
    <row r="41" spans="2:2" x14ac:dyDescent="0.2">
      <c r="B41" t="s">
        <v>2059</v>
      </c>
    </row>
    <row r="42" spans="2:2" x14ac:dyDescent="0.2">
      <c r="B42" t="s">
        <v>2060</v>
      </c>
    </row>
    <row r="43" spans="2:2" x14ac:dyDescent="0.2">
      <c r="B43" t="s">
        <v>2061</v>
      </c>
    </row>
    <row r="44" spans="2:2" x14ac:dyDescent="0.2">
      <c r="B44" t="s">
        <v>2062</v>
      </c>
    </row>
    <row r="45" spans="2:2" x14ac:dyDescent="0.2">
      <c r="B45" t="s">
        <v>2063</v>
      </c>
    </row>
    <row r="46" spans="2:2" x14ac:dyDescent="0.2">
      <c r="B46" t="s">
        <v>2064</v>
      </c>
    </row>
    <row r="47" spans="2:2" x14ac:dyDescent="0.2">
      <c r="B47" t="s">
        <v>2065</v>
      </c>
    </row>
    <row r="48" spans="2:2" x14ac:dyDescent="0.2">
      <c r="B48" t="s">
        <v>2066</v>
      </c>
    </row>
    <row r="49" spans="2:2" x14ac:dyDescent="0.2">
      <c r="B49" t="s">
        <v>2067</v>
      </c>
    </row>
    <row r="50" spans="2:2" x14ac:dyDescent="0.2">
      <c r="B50" t="s">
        <v>2068</v>
      </c>
    </row>
    <row r="51" spans="2:2" x14ac:dyDescent="0.2">
      <c r="B51" t="s">
        <v>2069</v>
      </c>
    </row>
    <row r="52" spans="2:2" x14ac:dyDescent="0.2">
      <c r="B52" t="s">
        <v>2070</v>
      </c>
    </row>
    <row r="53" spans="2:2" x14ac:dyDescent="0.2">
      <c r="B53" t="s">
        <v>2071</v>
      </c>
    </row>
    <row r="54" spans="2:2" x14ac:dyDescent="0.2">
      <c r="B54" t="s">
        <v>2072</v>
      </c>
    </row>
    <row r="55" spans="2:2" x14ac:dyDescent="0.2">
      <c r="B55" t="s">
        <v>2073</v>
      </c>
    </row>
    <row r="56" spans="2:2" x14ac:dyDescent="0.2">
      <c r="B56" t="s">
        <v>2074</v>
      </c>
    </row>
    <row r="57" spans="2:2" x14ac:dyDescent="0.2">
      <c r="B57" t="s">
        <v>2075</v>
      </c>
    </row>
    <row r="58" spans="2:2" x14ac:dyDescent="0.2">
      <c r="B58" t="s">
        <v>2076</v>
      </c>
    </row>
    <row r="59" spans="2:2" x14ac:dyDescent="0.2">
      <c r="B59" t="s">
        <v>2077</v>
      </c>
    </row>
    <row r="60" spans="2:2" x14ac:dyDescent="0.2">
      <c r="B60" t="s">
        <v>2078</v>
      </c>
    </row>
    <row r="61" spans="2:2" x14ac:dyDescent="0.2">
      <c r="B61" t="s">
        <v>2079</v>
      </c>
    </row>
    <row r="62" spans="2:2" x14ac:dyDescent="0.2">
      <c r="B62" t="s">
        <v>2080</v>
      </c>
    </row>
    <row r="63" spans="2:2" x14ac:dyDescent="0.2">
      <c r="B63" t="s">
        <v>2081</v>
      </c>
    </row>
    <row r="64" spans="2:2" x14ac:dyDescent="0.2">
      <c r="B64" t="s">
        <v>2082</v>
      </c>
    </row>
    <row r="65" spans="2:2" x14ac:dyDescent="0.2">
      <c r="B65" t="s">
        <v>2083</v>
      </c>
    </row>
    <row r="66" spans="2:2" x14ac:dyDescent="0.2">
      <c r="B66" t="s">
        <v>2084</v>
      </c>
    </row>
    <row r="67" spans="2:2" x14ac:dyDescent="0.2">
      <c r="B67" t="s">
        <v>2085</v>
      </c>
    </row>
    <row r="68" spans="2:2" x14ac:dyDescent="0.2">
      <c r="B68" t="s">
        <v>2086</v>
      </c>
    </row>
    <row r="69" spans="2:2" x14ac:dyDescent="0.2">
      <c r="B69" t="s">
        <v>2087</v>
      </c>
    </row>
    <row r="70" spans="2:2" x14ac:dyDescent="0.2">
      <c r="B70" t="s">
        <v>2088</v>
      </c>
    </row>
    <row r="71" spans="2:2" x14ac:dyDescent="0.2">
      <c r="B71" t="s">
        <v>2089</v>
      </c>
    </row>
    <row r="72" spans="2:2" x14ac:dyDescent="0.2">
      <c r="B72" t="s">
        <v>2090</v>
      </c>
    </row>
    <row r="73" spans="2:2" x14ac:dyDescent="0.2">
      <c r="B73" t="s">
        <v>2091</v>
      </c>
    </row>
    <row r="74" spans="2:2" x14ac:dyDescent="0.2">
      <c r="B74" t="s">
        <v>2092</v>
      </c>
    </row>
    <row r="75" spans="2:2" x14ac:dyDescent="0.2">
      <c r="B75" t="s">
        <v>2093</v>
      </c>
    </row>
    <row r="76" spans="2:2" x14ac:dyDescent="0.2">
      <c r="B76" t="s">
        <v>2094</v>
      </c>
    </row>
    <row r="77" spans="2:2" x14ac:dyDescent="0.2">
      <c r="B77" t="s">
        <v>2095</v>
      </c>
    </row>
    <row r="78" spans="2:2" x14ac:dyDescent="0.2">
      <c r="B78" t="s">
        <v>2096</v>
      </c>
    </row>
    <row r="79" spans="2:2" x14ac:dyDescent="0.2">
      <c r="B79" t="s">
        <v>2097</v>
      </c>
    </row>
    <row r="80" spans="2:2" x14ac:dyDescent="0.2">
      <c r="B80" t="s">
        <v>2098</v>
      </c>
    </row>
    <row r="81" spans="2:2" x14ac:dyDescent="0.2">
      <c r="B81" t="s">
        <v>2099</v>
      </c>
    </row>
    <row r="82" spans="2:2" x14ac:dyDescent="0.2">
      <c r="B82" t="s">
        <v>2100</v>
      </c>
    </row>
    <row r="83" spans="2:2" x14ac:dyDescent="0.2">
      <c r="B83" t="s">
        <v>2101</v>
      </c>
    </row>
    <row r="84" spans="2:2" x14ac:dyDescent="0.2">
      <c r="B84" t="s">
        <v>2102</v>
      </c>
    </row>
    <row r="85" spans="2:2" x14ac:dyDescent="0.2">
      <c r="B85" t="s">
        <v>2103</v>
      </c>
    </row>
    <row r="86" spans="2:2" x14ac:dyDescent="0.2">
      <c r="B86" t="s">
        <v>2104</v>
      </c>
    </row>
    <row r="87" spans="2:2" x14ac:dyDescent="0.2">
      <c r="B87" t="s">
        <v>2105</v>
      </c>
    </row>
    <row r="88" spans="2:2" x14ac:dyDescent="0.2">
      <c r="B88" t="s">
        <v>2106</v>
      </c>
    </row>
    <row r="89" spans="2:2" x14ac:dyDescent="0.2">
      <c r="B89" t="s">
        <v>2107</v>
      </c>
    </row>
    <row r="90" spans="2:2" x14ac:dyDescent="0.2">
      <c r="B90" t="s">
        <v>2108</v>
      </c>
    </row>
    <row r="91" spans="2:2" x14ac:dyDescent="0.2">
      <c r="B91" t="s">
        <v>2109</v>
      </c>
    </row>
    <row r="92" spans="2:2" x14ac:dyDescent="0.2">
      <c r="B92" t="s">
        <v>2110</v>
      </c>
    </row>
    <row r="93" spans="2:2" x14ac:dyDescent="0.2">
      <c r="B93" t="s">
        <v>2111</v>
      </c>
    </row>
    <row r="94" spans="2:2" x14ac:dyDescent="0.2">
      <c r="B94" t="s">
        <v>2112</v>
      </c>
    </row>
    <row r="95" spans="2:2" x14ac:dyDescent="0.2">
      <c r="B95" t="s">
        <v>2113</v>
      </c>
    </row>
    <row r="96" spans="2:2" x14ac:dyDescent="0.2">
      <c r="B96" t="s">
        <v>2114</v>
      </c>
    </row>
    <row r="97" spans="2:2" x14ac:dyDescent="0.2">
      <c r="B97" t="s">
        <v>2115</v>
      </c>
    </row>
    <row r="98" spans="2:2" x14ac:dyDescent="0.2">
      <c r="B98" t="s">
        <v>2116</v>
      </c>
    </row>
    <row r="99" spans="2:2" x14ac:dyDescent="0.2">
      <c r="B99" t="s">
        <v>2117</v>
      </c>
    </row>
    <row r="100" spans="2:2" x14ac:dyDescent="0.2">
      <c r="B100" t="s">
        <v>2118</v>
      </c>
    </row>
    <row r="101" spans="2:2" x14ac:dyDescent="0.2">
      <c r="B101" t="s">
        <v>2119</v>
      </c>
    </row>
    <row r="102" spans="2:2" x14ac:dyDescent="0.2">
      <c r="B102" t="s">
        <v>2120</v>
      </c>
    </row>
    <row r="103" spans="2:2" x14ac:dyDescent="0.2">
      <c r="B103" t="s">
        <v>2121</v>
      </c>
    </row>
    <row r="104" spans="2:2" x14ac:dyDescent="0.2">
      <c r="B104" t="s">
        <v>2122</v>
      </c>
    </row>
    <row r="105" spans="2:2" x14ac:dyDescent="0.2">
      <c r="B105" t="s">
        <v>2123</v>
      </c>
    </row>
    <row r="106" spans="2:2" x14ac:dyDescent="0.2">
      <c r="B106" t="s">
        <v>2124</v>
      </c>
    </row>
    <row r="107" spans="2:2" x14ac:dyDescent="0.2">
      <c r="B107" t="s">
        <v>2125</v>
      </c>
    </row>
    <row r="108" spans="2:2" x14ac:dyDescent="0.2">
      <c r="B108" t="s">
        <v>2126</v>
      </c>
    </row>
    <row r="109" spans="2:2" x14ac:dyDescent="0.2">
      <c r="B109" t="s">
        <v>2127</v>
      </c>
    </row>
    <row r="110" spans="2:2" x14ac:dyDescent="0.2">
      <c r="B110" t="s">
        <v>2128</v>
      </c>
    </row>
    <row r="111" spans="2:2" x14ac:dyDescent="0.2">
      <c r="B111" t="s">
        <v>2129</v>
      </c>
    </row>
    <row r="112" spans="2:2" x14ac:dyDescent="0.2">
      <c r="B112" t="s">
        <v>2130</v>
      </c>
    </row>
    <row r="113" spans="2:2" x14ac:dyDescent="0.2">
      <c r="B113" t="s">
        <v>2131</v>
      </c>
    </row>
    <row r="114" spans="2:2" x14ac:dyDescent="0.2">
      <c r="B114" t="s">
        <v>2132</v>
      </c>
    </row>
    <row r="115" spans="2:2" x14ac:dyDescent="0.2">
      <c r="B115" t="s">
        <v>2133</v>
      </c>
    </row>
    <row r="116" spans="2:2" x14ac:dyDescent="0.2">
      <c r="B116" t="s">
        <v>2134</v>
      </c>
    </row>
    <row r="117" spans="2:2" x14ac:dyDescent="0.2">
      <c r="B117" t="s">
        <v>2135</v>
      </c>
    </row>
    <row r="118" spans="2:2" x14ac:dyDescent="0.2">
      <c r="B118" t="s">
        <v>2136</v>
      </c>
    </row>
    <row r="119" spans="2:2" x14ac:dyDescent="0.2">
      <c r="B119" t="s">
        <v>2137</v>
      </c>
    </row>
    <row r="120" spans="2:2" x14ac:dyDescent="0.2">
      <c r="B120" t="s">
        <v>2138</v>
      </c>
    </row>
    <row r="121" spans="2:2" x14ac:dyDescent="0.2">
      <c r="B121" t="s">
        <v>2139</v>
      </c>
    </row>
    <row r="122" spans="2:2" x14ac:dyDescent="0.2">
      <c r="B122" t="s">
        <v>2140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árok1"/>
  <dimension ref="A1:B98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2141</v>
      </c>
    </row>
    <row r="3" spans="1:2" x14ac:dyDescent="0.2">
      <c r="B3" t="s">
        <v>2142</v>
      </c>
    </row>
    <row r="4" spans="1:2" x14ac:dyDescent="0.2">
      <c r="B4" t="s">
        <v>2143</v>
      </c>
    </row>
    <row r="5" spans="1:2" x14ac:dyDescent="0.2">
      <c r="B5" t="s">
        <v>2144</v>
      </c>
    </row>
    <row r="6" spans="1:2" x14ac:dyDescent="0.2">
      <c r="B6" t="s">
        <v>2145</v>
      </c>
    </row>
    <row r="7" spans="1:2" x14ac:dyDescent="0.2">
      <c r="B7" t="s">
        <v>2146</v>
      </c>
    </row>
    <row r="8" spans="1:2" x14ac:dyDescent="0.2">
      <c r="B8" t="s">
        <v>2147</v>
      </c>
    </row>
    <row r="9" spans="1:2" x14ac:dyDescent="0.2">
      <c r="B9" t="s">
        <v>2148</v>
      </c>
    </row>
    <row r="10" spans="1:2" x14ac:dyDescent="0.2">
      <c r="B10" t="s">
        <v>2149</v>
      </c>
    </row>
    <row r="11" spans="1:2" x14ac:dyDescent="0.2">
      <c r="B11" t="s">
        <v>2150</v>
      </c>
    </row>
    <row r="12" spans="1:2" x14ac:dyDescent="0.2">
      <c r="B12" t="s">
        <v>2151</v>
      </c>
    </row>
    <row r="13" spans="1:2" x14ac:dyDescent="0.2">
      <c r="B13" t="s">
        <v>2152</v>
      </c>
    </row>
    <row r="14" spans="1:2" x14ac:dyDescent="0.2">
      <c r="B14" t="s">
        <v>2153</v>
      </c>
    </row>
    <row r="15" spans="1:2" x14ac:dyDescent="0.2">
      <c r="B15" t="s">
        <v>2154</v>
      </c>
    </row>
    <row r="16" spans="1:2" x14ac:dyDescent="0.2">
      <c r="B16" t="s">
        <v>2155</v>
      </c>
    </row>
    <row r="17" spans="2:2" x14ac:dyDescent="0.2">
      <c r="B17" t="s">
        <v>2156</v>
      </c>
    </row>
    <row r="18" spans="2:2" x14ac:dyDescent="0.2">
      <c r="B18" t="s">
        <v>2157</v>
      </c>
    </row>
    <row r="19" spans="2:2" x14ac:dyDescent="0.2">
      <c r="B19" t="s">
        <v>2158</v>
      </c>
    </row>
    <row r="20" spans="2:2" x14ac:dyDescent="0.2">
      <c r="B20" t="s">
        <v>2159</v>
      </c>
    </row>
    <row r="21" spans="2:2" x14ac:dyDescent="0.2">
      <c r="B21" t="s">
        <v>2160</v>
      </c>
    </row>
    <row r="22" spans="2:2" x14ac:dyDescent="0.2">
      <c r="B22" t="s">
        <v>2161</v>
      </c>
    </row>
    <row r="23" spans="2:2" x14ac:dyDescent="0.2">
      <c r="B23" t="s">
        <v>2162</v>
      </c>
    </row>
    <row r="24" spans="2:2" x14ac:dyDescent="0.2">
      <c r="B24" t="s">
        <v>2163</v>
      </c>
    </row>
    <row r="25" spans="2:2" x14ac:dyDescent="0.2">
      <c r="B25" t="s">
        <v>2164</v>
      </c>
    </row>
    <row r="26" spans="2:2" x14ac:dyDescent="0.2">
      <c r="B26" t="s">
        <v>2165</v>
      </c>
    </row>
    <row r="27" spans="2:2" x14ac:dyDescent="0.2">
      <c r="B27" t="s">
        <v>2166</v>
      </c>
    </row>
    <row r="28" spans="2:2" x14ac:dyDescent="0.2">
      <c r="B28" t="s">
        <v>2167</v>
      </c>
    </row>
    <row r="29" spans="2:2" x14ac:dyDescent="0.2">
      <c r="B29" t="s">
        <v>2168</v>
      </c>
    </row>
    <row r="30" spans="2:2" x14ac:dyDescent="0.2">
      <c r="B30" t="s">
        <v>2169</v>
      </c>
    </row>
    <row r="31" spans="2:2" x14ac:dyDescent="0.2">
      <c r="B31" t="s">
        <v>2170</v>
      </c>
    </row>
    <row r="32" spans="2:2" x14ac:dyDescent="0.2">
      <c r="B32" t="s">
        <v>2171</v>
      </c>
    </row>
    <row r="33" spans="2:2" x14ac:dyDescent="0.2">
      <c r="B33" t="s">
        <v>2172</v>
      </c>
    </row>
    <row r="34" spans="2:2" x14ac:dyDescent="0.2">
      <c r="B34" t="s">
        <v>2173</v>
      </c>
    </row>
    <row r="35" spans="2:2" x14ac:dyDescent="0.2">
      <c r="B35" t="s">
        <v>2174</v>
      </c>
    </row>
    <row r="36" spans="2:2" x14ac:dyDescent="0.2">
      <c r="B36" t="s">
        <v>2175</v>
      </c>
    </row>
    <row r="37" spans="2:2" x14ac:dyDescent="0.2">
      <c r="B37" t="s">
        <v>2176</v>
      </c>
    </row>
    <row r="38" spans="2:2" x14ac:dyDescent="0.2">
      <c r="B38" t="s">
        <v>2177</v>
      </c>
    </row>
    <row r="39" spans="2:2" x14ac:dyDescent="0.2">
      <c r="B39" t="s">
        <v>2178</v>
      </c>
    </row>
    <row r="40" spans="2:2" x14ac:dyDescent="0.2">
      <c r="B40" t="s">
        <v>2179</v>
      </c>
    </row>
    <row r="41" spans="2:2" x14ac:dyDescent="0.2">
      <c r="B41" t="s">
        <v>2180</v>
      </c>
    </row>
    <row r="42" spans="2:2" x14ac:dyDescent="0.2">
      <c r="B42" t="s">
        <v>2181</v>
      </c>
    </row>
    <row r="43" spans="2:2" x14ac:dyDescent="0.2">
      <c r="B43" t="s">
        <v>2182</v>
      </c>
    </row>
    <row r="44" spans="2:2" x14ac:dyDescent="0.2">
      <c r="B44" t="s">
        <v>2183</v>
      </c>
    </row>
    <row r="45" spans="2:2" x14ac:dyDescent="0.2">
      <c r="B45" t="s">
        <v>2184</v>
      </c>
    </row>
    <row r="46" spans="2:2" x14ac:dyDescent="0.2">
      <c r="B46" t="s">
        <v>2185</v>
      </c>
    </row>
    <row r="47" spans="2:2" x14ac:dyDescent="0.2">
      <c r="B47" t="s">
        <v>2186</v>
      </c>
    </row>
    <row r="48" spans="2:2" x14ac:dyDescent="0.2">
      <c r="B48" t="s">
        <v>2187</v>
      </c>
    </row>
    <row r="49" spans="2:2" x14ac:dyDescent="0.2">
      <c r="B49" t="s">
        <v>2188</v>
      </c>
    </row>
    <row r="50" spans="2:2" x14ac:dyDescent="0.2">
      <c r="B50" t="s">
        <v>2189</v>
      </c>
    </row>
    <row r="51" spans="2:2" x14ac:dyDescent="0.2">
      <c r="B51" t="s">
        <v>2190</v>
      </c>
    </row>
    <row r="52" spans="2:2" x14ac:dyDescent="0.2">
      <c r="B52" t="s">
        <v>2191</v>
      </c>
    </row>
    <row r="53" spans="2:2" x14ac:dyDescent="0.2">
      <c r="B53" t="s">
        <v>2192</v>
      </c>
    </row>
    <row r="54" spans="2:2" x14ac:dyDescent="0.2">
      <c r="B54" t="s">
        <v>2193</v>
      </c>
    </row>
    <row r="55" spans="2:2" x14ac:dyDescent="0.2">
      <c r="B55" t="s">
        <v>2194</v>
      </c>
    </row>
    <row r="56" spans="2:2" x14ac:dyDescent="0.2">
      <c r="B56" t="s">
        <v>2195</v>
      </c>
    </row>
    <row r="57" spans="2:2" x14ac:dyDescent="0.2">
      <c r="B57" t="s">
        <v>2196</v>
      </c>
    </row>
    <row r="58" spans="2:2" x14ac:dyDescent="0.2">
      <c r="B58" t="s">
        <v>2197</v>
      </c>
    </row>
    <row r="59" spans="2:2" x14ac:dyDescent="0.2">
      <c r="B59" t="s">
        <v>2198</v>
      </c>
    </row>
    <row r="60" spans="2:2" x14ac:dyDescent="0.2">
      <c r="B60" t="s">
        <v>2199</v>
      </c>
    </row>
    <row r="61" spans="2:2" x14ac:dyDescent="0.2">
      <c r="B61" t="s">
        <v>2200</v>
      </c>
    </row>
    <row r="62" spans="2:2" x14ac:dyDescent="0.2">
      <c r="B62" t="s">
        <v>2201</v>
      </c>
    </row>
    <row r="63" spans="2:2" x14ac:dyDescent="0.2">
      <c r="B63" t="s">
        <v>2202</v>
      </c>
    </row>
    <row r="64" spans="2:2" x14ac:dyDescent="0.2">
      <c r="B64" t="s">
        <v>2203</v>
      </c>
    </row>
    <row r="65" spans="2:2" x14ac:dyDescent="0.2">
      <c r="B65" t="s">
        <v>2204</v>
      </c>
    </row>
    <row r="66" spans="2:2" x14ac:dyDescent="0.2">
      <c r="B66" t="s">
        <v>2205</v>
      </c>
    </row>
    <row r="67" spans="2:2" x14ac:dyDescent="0.2">
      <c r="B67" t="s">
        <v>2206</v>
      </c>
    </row>
    <row r="68" spans="2:2" x14ac:dyDescent="0.2">
      <c r="B68" t="s">
        <v>2207</v>
      </c>
    </row>
    <row r="69" spans="2:2" x14ac:dyDescent="0.2">
      <c r="B69" t="s">
        <v>2208</v>
      </c>
    </row>
    <row r="70" spans="2:2" x14ac:dyDescent="0.2">
      <c r="B70" t="s">
        <v>2209</v>
      </c>
    </row>
    <row r="71" spans="2:2" x14ac:dyDescent="0.2">
      <c r="B71" t="s">
        <v>2210</v>
      </c>
    </row>
    <row r="72" spans="2:2" x14ac:dyDescent="0.2">
      <c r="B72" t="s">
        <v>2211</v>
      </c>
    </row>
    <row r="73" spans="2:2" x14ac:dyDescent="0.2">
      <c r="B73" t="s">
        <v>2212</v>
      </c>
    </row>
    <row r="74" spans="2:2" x14ac:dyDescent="0.2">
      <c r="B74" t="s">
        <v>2213</v>
      </c>
    </row>
    <row r="75" spans="2:2" x14ac:dyDescent="0.2">
      <c r="B75" t="s">
        <v>2214</v>
      </c>
    </row>
    <row r="76" spans="2:2" x14ac:dyDescent="0.2">
      <c r="B76" t="s">
        <v>2215</v>
      </c>
    </row>
    <row r="77" spans="2:2" x14ac:dyDescent="0.2">
      <c r="B77" t="s">
        <v>2216</v>
      </c>
    </row>
    <row r="78" spans="2:2" x14ac:dyDescent="0.2">
      <c r="B78" t="s">
        <v>2217</v>
      </c>
    </row>
    <row r="79" spans="2:2" x14ac:dyDescent="0.2">
      <c r="B79" t="s">
        <v>2218</v>
      </c>
    </row>
    <row r="80" spans="2:2" x14ac:dyDescent="0.2">
      <c r="B80" t="s">
        <v>2219</v>
      </c>
    </row>
    <row r="81" spans="2:2" x14ac:dyDescent="0.2">
      <c r="B81" t="s">
        <v>2220</v>
      </c>
    </row>
    <row r="82" spans="2:2" x14ac:dyDescent="0.2">
      <c r="B82" t="s">
        <v>2221</v>
      </c>
    </row>
    <row r="83" spans="2:2" x14ac:dyDescent="0.2">
      <c r="B83" t="s">
        <v>2222</v>
      </c>
    </row>
    <row r="84" spans="2:2" x14ac:dyDescent="0.2">
      <c r="B84" t="s">
        <v>2223</v>
      </c>
    </row>
    <row r="85" spans="2:2" x14ac:dyDescent="0.2">
      <c r="B85" t="s">
        <v>2224</v>
      </c>
    </row>
    <row r="86" spans="2:2" x14ac:dyDescent="0.2">
      <c r="B86" t="s">
        <v>2225</v>
      </c>
    </row>
    <row r="87" spans="2:2" x14ac:dyDescent="0.2">
      <c r="B87" t="s">
        <v>2226</v>
      </c>
    </row>
    <row r="88" spans="2:2" x14ac:dyDescent="0.2">
      <c r="B88" t="s">
        <v>2227</v>
      </c>
    </row>
    <row r="89" spans="2:2" x14ac:dyDescent="0.2">
      <c r="B89" t="s">
        <v>2228</v>
      </c>
    </row>
    <row r="90" spans="2:2" x14ac:dyDescent="0.2">
      <c r="B90" t="s">
        <v>2229</v>
      </c>
    </row>
    <row r="91" spans="2:2" x14ac:dyDescent="0.2">
      <c r="B91" t="s">
        <v>2230</v>
      </c>
    </row>
    <row r="92" spans="2:2" x14ac:dyDescent="0.2">
      <c r="B92" t="s">
        <v>2231</v>
      </c>
    </row>
    <row r="93" spans="2:2" x14ac:dyDescent="0.2">
      <c r="B93" t="s">
        <v>2232</v>
      </c>
    </row>
    <row r="94" spans="2:2" x14ac:dyDescent="0.2">
      <c r="B94" t="s">
        <v>2233</v>
      </c>
    </row>
    <row r="95" spans="2:2" x14ac:dyDescent="0.2">
      <c r="B95" t="s">
        <v>2234</v>
      </c>
    </row>
    <row r="96" spans="2:2" x14ac:dyDescent="0.2">
      <c r="B96" t="s">
        <v>2235</v>
      </c>
    </row>
    <row r="97" spans="2:2" x14ac:dyDescent="0.2">
      <c r="B97" t="s">
        <v>2236</v>
      </c>
    </row>
    <row r="98" spans="2:2" x14ac:dyDescent="0.2">
      <c r="B98" t="s">
        <v>2237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0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2238</v>
      </c>
    </row>
    <row r="3" spans="1:2" x14ac:dyDescent="0.2">
      <c r="B3" t="s">
        <v>2239</v>
      </c>
    </row>
    <row r="4" spans="1:2" x14ac:dyDescent="0.2">
      <c r="B4" t="s">
        <v>2240</v>
      </c>
    </row>
    <row r="5" spans="1:2" x14ac:dyDescent="0.2">
      <c r="B5" t="s">
        <v>2241</v>
      </c>
    </row>
    <row r="6" spans="1:2" x14ac:dyDescent="0.2">
      <c r="B6" t="s">
        <v>2242</v>
      </c>
    </row>
    <row r="7" spans="1:2" x14ac:dyDescent="0.2">
      <c r="B7" t="s">
        <v>2243</v>
      </c>
    </row>
    <row r="8" spans="1:2" x14ac:dyDescent="0.2">
      <c r="B8" t="s">
        <v>2244</v>
      </c>
    </row>
    <row r="9" spans="1:2" x14ac:dyDescent="0.2">
      <c r="B9" t="s">
        <v>2245</v>
      </c>
    </row>
    <row r="10" spans="1:2" x14ac:dyDescent="0.2">
      <c r="B10" t="s">
        <v>2246</v>
      </c>
    </row>
    <row r="11" spans="1:2" x14ac:dyDescent="0.2">
      <c r="B11" t="s">
        <v>2247</v>
      </c>
    </row>
    <row r="12" spans="1:2" x14ac:dyDescent="0.2">
      <c r="B12" t="s">
        <v>2248</v>
      </c>
    </row>
    <row r="13" spans="1:2" x14ac:dyDescent="0.2">
      <c r="B13" t="s">
        <v>2249</v>
      </c>
    </row>
    <row r="14" spans="1:2" x14ac:dyDescent="0.2">
      <c r="B14" t="s">
        <v>2250</v>
      </c>
    </row>
    <row r="15" spans="1:2" x14ac:dyDescent="0.2">
      <c r="B15" t="s">
        <v>2251</v>
      </c>
    </row>
    <row r="16" spans="1:2" x14ac:dyDescent="0.2">
      <c r="B16" t="s">
        <v>2252</v>
      </c>
    </row>
    <row r="17" spans="2:2" x14ac:dyDescent="0.2">
      <c r="B17" t="s">
        <v>2253</v>
      </c>
    </row>
    <row r="18" spans="2:2" x14ac:dyDescent="0.2">
      <c r="B18" t="s">
        <v>2254</v>
      </c>
    </row>
    <row r="19" spans="2:2" x14ac:dyDescent="0.2">
      <c r="B19" t="s">
        <v>2255</v>
      </c>
    </row>
    <row r="20" spans="2:2" x14ac:dyDescent="0.2">
      <c r="B20" t="s">
        <v>2256</v>
      </c>
    </row>
    <row r="21" spans="2:2" x14ac:dyDescent="0.2">
      <c r="B21" t="s">
        <v>2257</v>
      </c>
    </row>
    <row r="22" spans="2:2" x14ac:dyDescent="0.2">
      <c r="B22" t="s">
        <v>2258</v>
      </c>
    </row>
    <row r="23" spans="2:2" x14ac:dyDescent="0.2">
      <c r="B23" t="s">
        <v>2259</v>
      </c>
    </row>
    <row r="24" spans="2:2" x14ac:dyDescent="0.2">
      <c r="B24" t="s">
        <v>2260</v>
      </c>
    </row>
    <row r="25" spans="2:2" x14ac:dyDescent="0.2">
      <c r="B25" t="s">
        <v>2261</v>
      </c>
    </row>
    <row r="26" spans="2:2" x14ac:dyDescent="0.2">
      <c r="B26" t="s">
        <v>2262</v>
      </c>
    </row>
    <row r="27" spans="2:2" x14ac:dyDescent="0.2">
      <c r="B27" t="s">
        <v>2263</v>
      </c>
    </row>
    <row r="28" spans="2:2" x14ac:dyDescent="0.2">
      <c r="B28" t="s">
        <v>2264</v>
      </c>
    </row>
    <row r="29" spans="2:2" x14ac:dyDescent="0.2">
      <c r="B29" t="s">
        <v>2265</v>
      </c>
    </row>
    <row r="30" spans="2:2" x14ac:dyDescent="0.2">
      <c r="B30" t="s">
        <v>2266</v>
      </c>
    </row>
    <row r="31" spans="2:2" x14ac:dyDescent="0.2">
      <c r="B31" t="s">
        <v>2267</v>
      </c>
    </row>
    <row r="32" spans="2:2" x14ac:dyDescent="0.2">
      <c r="B32" t="s">
        <v>2268</v>
      </c>
    </row>
    <row r="33" spans="2:2" x14ac:dyDescent="0.2">
      <c r="B33" t="s">
        <v>2269</v>
      </c>
    </row>
    <row r="34" spans="2:2" x14ac:dyDescent="0.2">
      <c r="B34" t="s">
        <v>2270</v>
      </c>
    </row>
    <row r="35" spans="2:2" x14ac:dyDescent="0.2">
      <c r="B35" t="s">
        <v>2271</v>
      </c>
    </row>
    <row r="36" spans="2:2" x14ac:dyDescent="0.2">
      <c r="B36" t="s">
        <v>2272</v>
      </c>
    </row>
    <row r="37" spans="2:2" x14ac:dyDescent="0.2">
      <c r="B37" t="s">
        <v>2273</v>
      </c>
    </row>
    <row r="38" spans="2:2" x14ac:dyDescent="0.2">
      <c r="B38" t="s">
        <v>2274</v>
      </c>
    </row>
    <row r="39" spans="2:2" x14ac:dyDescent="0.2">
      <c r="B39" t="s">
        <v>2275</v>
      </c>
    </row>
    <row r="40" spans="2:2" x14ac:dyDescent="0.2">
      <c r="B40" t="s">
        <v>2276</v>
      </c>
    </row>
    <row r="41" spans="2:2" x14ac:dyDescent="0.2">
      <c r="B41" t="s">
        <v>2277</v>
      </c>
    </row>
    <row r="42" spans="2:2" x14ac:dyDescent="0.2">
      <c r="B42" t="s">
        <v>2278</v>
      </c>
    </row>
    <row r="43" spans="2:2" x14ac:dyDescent="0.2">
      <c r="B43" t="s">
        <v>2279</v>
      </c>
    </row>
    <row r="44" spans="2:2" x14ac:dyDescent="0.2">
      <c r="B44" t="s">
        <v>2280</v>
      </c>
    </row>
    <row r="45" spans="2:2" x14ac:dyDescent="0.2">
      <c r="B45" t="s">
        <v>2281</v>
      </c>
    </row>
    <row r="46" spans="2:2" x14ac:dyDescent="0.2">
      <c r="B46" t="s">
        <v>2282</v>
      </c>
    </row>
    <row r="47" spans="2:2" x14ac:dyDescent="0.2">
      <c r="B47" t="s">
        <v>2283</v>
      </c>
    </row>
    <row r="48" spans="2:2" x14ac:dyDescent="0.2">
      <c r="B48" t="s">
        <v>2284</v>
      </c>
    </row>
    <row r="49" spans="2:2" x14ac:dyDescent="0.2">
      <c r="B49" t="s">
        <v>2285</v>
      </c>
    </row>
    <row r="50" spans="2:2" x14ac:dyDescent="0.2">
      <c r="B50" t="s">
        <v>2286</v>
      </c>
    </row>
    <row r="51" spans="2:2" x14ac:dyDescent="0.2">
      <c r="B51" t="s">
        <v>2287</v>
      </c>
    </row>
    <row r="52" spans="2:2" x14ac:dyDescent="0.2">
      <c r="B52" t="s">
        <v>2288</v>
      </c>
    </row>
    <row r="53" spans="2:2" x14ac:dyDescent="0.2">
      <c r="B53" t="s">
        <v>2289</v>
      </c>
    </row>
    <row r="54" spans="2:2" x14ac:dyDescent="0.2">
      <c r="B54" t="s">
        <v>2290</v>
      </c>
    </row>
    <row r="55" spans="2:2" x14ac:dyDescent="0.2">
      <c r="B55" t="s">
        <v>2291</v>
      </c>
    </row>
    <row r="56" spans="2:2" x14ac:dyDescent="0.2">
      <c r="B56" t="s">
        <v>2292</v>
      </c>
    </row>
    <row r="57" spans="2:2" x14ac:dyDescent="0.2">
      <c r="B57" t="s">
        <v>2293</v>
      </c>
    </row>
    <row r="58" spans="2:2" x14ac:dyDescent="0.2">
      <c r="B58" t="s">
        <v>2294</v>
      </c>
    </row>
    <row r="59" spans="2:2" x14ac:dyDescent="0.2">
      <c r="B59" t="s">
        <v>2295</v>
      </c>
    </row>
    <row r="60" spans="2:2" x14ac:dyDescent="0.2">
      <c r="B60" t="s">
        <v>2296</v>
      </c>
    </row>
    <row r="61" spans="2:2" x14ac:dyDescent="0.2">
      <c r="B61" t="s">
        <v>2297</v>
      </c>
    </row>
    <row r="62" spans="2:2" x14ac:dyDescent="0.2">
      <c r="B62" t="s">
        <v>2298</v>
      </c>
    </row>
    <row r="63" spans="2:2" x14ac:dyDescent="0.2">
      <c r="B63" t="s">
        <v>2299</v>
      </c>
    </row>
    <row r="64" spans="2:2" x14ac:dyDescent="0.2">
      <c r="B64" t="s">
        <v>2300</v>
      </c>
    </row>
    <row r="65" spans="2:2" x14ac:dyDescent="0.2">
      <c r="B65" t="s">
        <v>2301</v>
      </c>
    </row>
    <row r="66" spans="2:2" x14ac:dyDescent="0.2">
      <c r="B66" t="s">
        <v>2302</v>
      </c>
    </row>
    <row r="67" spans="2:2" x14ac:dyDescent="0.2">
      <c r="B67" t="s">
        <v>2303</v>
      </c>
    </row>
    <row r="68" spans="2:2" x14ac:dyDescent="0.2">
      <c r="B68" t="s">
        <v>2304</v>
      </c>
    </row>
    <row r="69" spans="2:2" x14ac:dyDescent="0.2">
      <c r="B69" t="s">
        <v>2305</v>
      </c>
    </row>
    <row r="70" spans="2:2" x14ac:dyDescent="0.2">
      <c r="B70" t="s">
        <v>2306</v>
      </c>
    </row>
    <row r="71" spans="2:2" x14ac:dyDescent="0.2">
      <c r="B71" t="s">
        <v>2307</v>
      </c>
    </row>
    <row r="72" spans="2:2" x14ac:dyDescent="0.2">
      <c r="B72" t="s">
        <v>2308</v>
      </c>
    </row>
    <row r="73" spans="2:2" x14ac:dyDescent="0.2">
      <c r="B73" t="s">
        <v>2309</v>
      </c>
    </row>
    <row r="74" spans="2:2" x14ac:dyDescent="0.2">
      <c r="B74" t="s">
        <v>2310</v>
      </c>
    </row>
    <row r="75" spans="2:2" x14ac:dyDescent="0.2">
      <c r="B75" t="s">
        <v>2311</v>
      </c>
    </row>
    <row r="76" spans="2:2" x14ac:dyDescent="0.2">
      <c r="B76" t="s">
        <v>2312</v>
      </c>
    </row>
    <row r="77" spans="2:2" x14ac:dyDescent="0.2">
      <c r="B77" t="s">
        <v>2313</v>
      </c>
    </row>
    <row r="78" spans="2:2" x14ac:dyDescent="0.2">
      <c r="B78" t="s">
        <v>2314</v>
      </c>
    </row>
    <row r="79" spans="2:2" x14ac:dyDescent="0.2">
      <c r="B79" t="s">
        <v>2315</v>
      </c>
    </row>
    <row r="80" spans="2:2" x14ac:dyDescent="0.2">
      <c r="B80" t="s">
        <v>2316</v>
      </c>
    </row>
    <row r="81" spans="2:2" x14ac:dyDescent="0.2">
      <c r="B81" t="s">
        <v>2317</v>
      </c>
    </row>
    <row r="82" spans="2:2" x14ac:dyDescent="0.2">
      <c r="B82" t="s">
        <v>2318</v>
      </c>
    </row>
    <row r="83" spans="2:2" x14ac:dyDescent="0.2">
      <c r="B83" t="s">
        <v>2319</v>
      </c>
    </row>
    <row r="84" spans="2:2" x14ac:dyDescent="0.2">
      <c r="B84" t="s">
        <v>2320</v>
      </c>
    </row>
    <row r="85" spans="2:2" x14ac:dyDescent="0.2">
      <c r="B85" t="s">
        <v>2321</v>
      </c>
    </row>
    <row r="86" spans="2:2" x14ac:dyDescent="0.2">
      <c r="B86" t="s">
        <v>2322</v>
      </c>
    </row>
    <row r="87" spans="2:2" x14ac:dyDescent="0.2">
      <c r="B87" t="s">
        <v>2323</v>
      </c>
    </row>
    <row r="88" spans="2:2" x14ac:dyDescent="0.2">
      <c r="B88" t="s">
        <v>2324</v>
      </c>
    </row>
    <row r="89" spans="2:2" x14ac:dyDescent="0.2">
      <c r="B89" t="s">
        <v>2325</v>
      </c>
    </row>
    <row r="90" spans="2:2" x14ac:dyDescent="0.2">
      <c r="B90" t="s">
        <v>2326</v>
      </c>
    </row>
    <row r="91" spans="2:2" x14ac:dyDescent="0.2">
      <c r="B91" t="s">
        <v>2327</v>
      </c>
    </row>
    <row r="92" spans="2:2" x14ac:dyDescent="0.2">
      <c r="B92" t="s">
        <v>2328</v>
      </c>
    </row>
    <row r="93" spans="2:2" x14ac:dyDescent="0.2">
      <c r="B93" t="s">
        <v>2329</v>
      </c>
    </row>
    <row r="94" spans="2:2" x14ac:dyDescent="0.2">
      <c r="B94" t="s">
        <v>2330</v>
      </c>
    </row>
    <row r="95" spans="2:2" x14ac:dyDescent="0.2">
      <c r="B95" t="s">
        <v>2331</v>
      </c>
    </row>
    <row r="96" spans="2:2" x14ac:dyDescent="0.2">
      <c r="B96" t="s">
        <v>2332</v>
      </c>
    </row>
    <row r="97" spans="2:2" x14ac:dyDescent="0.2">
      <c r="B97" t="s">
        <v>2333</v>
      </c>
    </row>
    <row r="98" spans="2:2" x14ac:dyDescent="0.2">
      <c r="B98" t="s">
        <v>2334</v>
      </c>
    </row>
    <row r="99" spans="2:2" x14ac:dyDescent="0.2">
      <c r="B99" t="s">
        <v>2335</v>
      </c>
    </row>
    <row r="100" spans="2:2" x14ac:dyDescent="0.2">
      <c r="B100" t="s">
        <v>2336</v>
      </c>
    </row>
    <row r="101" spans="2:2" x14ac:dyDescent="0.2">
      <c r="B101" t="s">
        <v>2337</v>
      </c>
    </row>
    <row r="102" spans="2:2" x14ac:dyDescent="0.2">
      <c r="B102" t="s">
        <v>2338</v>
      </c>
    </row>
    <row r="103" spans="2:2" x14ac:dyDescent="0.2">
      <c r="B103" t="s">
        <v>2339</v>
      </c>
    </row>
    <row r="104" spans="2:2" x14ac:dyDescent="0.2">
      <c r="B104" t="s">
        <v>2340</v>
      </c>
    </row>
    <row r="105" spans="2:2" x14ac:dyDescent="0.2">
      <c r="B105" t="s">
        <v>2341</v>
      </c>
    </row>
    <row r="106" spans="2:2" x14ac:dyDescent="0.2">
      <c r="B106" t="s">
        <v>2342</v>
      </c>
    </row>
    <row r="107" spans="2:2" x14ac:dyDescent="0.2">
      <c r="B107" t="s">
        <v>2343</v>
      </c>
    </row>
    <row r="108" spans="2:2" x14ac:dyDescent="0.2">
      <c r="B108" t="s">
        <v>2344</v>
      </c>
    </row>
    <row r="109" spans="2:2" x14ac:dyDescent="0.2">
      <c r="B109" t="s">
        <v>2345</v>
      </c>
    </row>
    <row r="110" spans="2:2" x14ac:dyDescent="0.2">
      <c r="B110" t="s">
        <v>2346</v>
      </c>
    </row>
    <row r="111" spans="2:2" x14ac:dyDescent="0.2">
      <c r="B111" t="s">
        <v>2347</v>
      </c>
    </row>
    <row r="112" spans="2:2" x14ac:dyDescent="0.2">
      <c r="B112" t="s">
        <v>2348</v>
      </c>
    </row>
    <row r="113" spans="2:2" x14ac:dyDescent="0.2">
      <c r="B113" t="s">
        <v>2349</v>
      </c>
    </row>
    <row r="114" spans="2:2" x14ac:dyDescent="0.2">
      <c r="B114" t="s">
        <v>2350</v>
      </c>
    </row>
    <row r="115" spans="2:2" x14ac:dyDescent="0.2">
      <c r="B115" t="s">
        <v>2351</v>
      </c>
    </row>
    <row r="116" spans="2:2" x14ac:dyDescent="0.2">
      <c r="B116" t="s">
        <v>2352</v>
      </c>
    </row>
    <row r="117" spans="2:2" x14ac:dyDescent="0.2">
      <c r="B117" t="s">
        <v>2353</v>
      </c>
    </row>
    <row r="118" spans="2:2" x14ac:dyDescent="0.2">
      <c r="B118" t="s">
        <v>2354</v>
      </c>
    </row>
    <row r="119" spans="2:2" x14ac:dyDescent="0.2">
      <c r="B119" t="s">
        <v>2355</v>
      </c>
    </row>
    <row r="120" spans="2:2" x14ac:dyDescent="0.2">
      <c r="B120" t="s">
        <v>2356</v>
      </c>
    </row>
    <row r="121" spans="2:2" x14ac:dyDescent="0.2">
      <c r="B121" t="s">
        <v>2357</v>
      </c>
    </row>
    <row r="122" spans="2:2" x14ac:dyDescent="0.2">
      <c r="B122" t="s">
        <v>2358</v>
      </c>
    </row>
    <row r="123" spans="2:2" x14ac:dyDescent="0.2">
      <c r="B123" t="s">
        <v>2359</v>
      </c>
    </row>
    <row r="124" spans="2:2" x14ac:dyDescent="0.2">
      <c r="B124" t="s">
        <v>2360</v>
      </c>
    </row>
    <row r="125" spans="2:2" x14ac:dyDescent="0.2">
      <c r="B125" t="s">
        <v>2361</v>
      </c>
    </row>
    <row r="126" spans="2:2" x14ac:dyDescent="0.2">
      <c r="B126" t="s">
        <v>2362</v>
      </c>
    </row>
    <row r="127" spans="2:2" x14ac:dyDescent="0.2">
      <c r="B127" t="s">
        <v>2363</v>
      </c>
    </row>
    <row r="128" spans="2:2" x14ac:dyDescent="0.2">
      <c r="B128" t="s">
        <v>2364</v>
      </c>
    </row>
    <row r="129" spans="2:2" x14ac:dyDescent="0.2">
      <c r="B129" t="s">
        <v>2365</v>
      </c>
    </row>
    <row r="130" spans="2:2" x14ac:dyDescent="0.2">
      <c r="B130" t="s">
        <v>2366</v>
      </c>
    </row>
    <row r="131" spans="2:2" x14ac:dyDescent="0.2">
      <c r="B131" t="s">
        <v>2367</v>
      </c>
    </row>
    <row r="132" spans="2:2" x14ac:dyDescent="0.2">
      <c r="B132" t="s">
        <v>2368</v>
      </c>
    </row>
    <row r="133" spans="2:2" x14ac:dyDescent="0.2">
      <c r="B133" t="s">
        <v>2369</v>
      </c>
    </row>
    <row r="134" spans="2:2" x14ac:dyDescent="0.2">
      <c r="B134" t="s">
        <v>2370</v>
      </c>
    </row>
    <row r="135" spans="2:2" x14ac:dyDescent="0.2">
      <c r="B135" t="s">
        <v>2371</v>
      </c>
    </row>
    <row r="136" spans="2:2" x14ac:dyDescent="0.2">
      <c r="B136" t="s">
        <v>2372</v>
      </c>
    </row>
    <row r="137" spans="2:2" x14ac:dyDescent="0.2">
      <c r="B137" t="s">
        <v>2373</v>
      </c>
    </row>
    <row r="138" spans="2:2" x14ac:dyDescent="0.2">
      <c r="B138" t="s">
        <v>2374</v>
      </c>
    </row>
    <row r="139" spans="2:2" x14ac:dyDescent="0.2">
      <c r="B139" t="s">
        <v>2375</v>
      </c>
    </row>
    <row r="140" spans="2:2" x14ac:dyDescent="0.2">
      <c r="B140" t="s">
        <v>2376</v>
      </c>
    </row>
    <row r="141" spans="2:2" x14ac:dyDescent="0.2">
      <c r="B141" t="s">
        <v>2377</v>
      </c>
    </row>
    <row r="142" spans="2:2" x14ac:dyDescent="0.2">
      <c r="B142" t="s">
        <v>2378</v>
      </c>
    </row>
    <row r="143" spans="2:2" x14ac:dyDescent="0.2">
      <c r="B143" t="s">
        <v>2379</v>
      </c>
    </row>
    <row r="144" spans="2:2" x14ac:dyDescent="0.2">
      <c r="B144" t="s">
        <v>2380</v>
      </c>
    </row>
    <row r="145" spans="2:2" x14ac:dyDescent="0.2">
      <c r="B145" t="s">
        <v>2381</v>
      </c>
    </row>
    <row r="146" spans="2:2" x14ac:dyDescent="0.2">
      <c r="B146" t="s">
        <v>2382</v>
      </c>
    </row>
    <row r="147" spans="2:2" x14ac:dyDescent="0.2">
      <c r="B147" t="s">
        <v>2383</v>
      </c>
    </row>
    <row r="148" spans="2:2" x14ac:dyDescent="0.2">
      <c r="B148" t="s">
        <v>2384</v>
      </c>
    </row>
    <row r="149" spans="2:2" x14ac:dyDescent="0.2">
      <c r="B149" t="s">
        <v>2385</v>
      </c>
    </row>
    <row r="150" spans="2:2" x14ac:dyDescent="0.2">
      <c r="B150" t="s">
        <v>2386</v>
      </c>
    </row>
    <row r="151" spans="2:2" x14ac:dyDescent="0.2">
      <c r="B151" t="s">
        <v>2387</v>
      </c>
    </row>
    <row r="152" spans="2:2" x14ac:dyDescent="0.2">
      <c r="B152" t="s">
        <v>2388</v>
      </c>
    </row>
    <row r="153" spans="2:2" x14ac:dyDescent="0.2">
      <c r="B153" t="s">
        <v>2389</v>
      </c>
    </row>
    <row r="154" spans="2:2" x14ac:dyDescent="0.2">
      <c r="B154" t="s">
        <v>2390</v>
      </c>
    </row>
    <row r="155" spans="2:2" x14ac:dyDescent="0.2">
      <c r="B155" t="s">
        <v>2391</v>
      </c>
    </row>
    <row r="156" spans="2:2" x14ac:dyDescent="0.2">
      <c r="B156" t="s">
        <v>2392</v>
      </c>
    </row>
    <row r="157" spans="2:2" x14ac:dyDescent="0.2">
      <c r="B157" t="s">
        <v>2393</v>
      </c>
    </row>
    <row r="158" spans="2:2" x14ac:dyDescent="0.2">
      <c r="B158" t="s">
        <v>2394</v>
      </c>
    </row>
    <row r="159" spans="2:2" x14ac:dyDescent="0.2">
      <c r="B159" t="s">
        <v>2395</v>
      </c>
    </row>
    <row r="160" spans="2:2" x14ac:dyDescent="0.2">
      <c r="B160" t="s">
        <v>2396</v>
      </c>
    </row>
    <row r="161" spans="2:2" x14ac:dyDescent="0.2">
      <c r="B161" t="s">
        <v>2397</v>
      </c>
    </row>
    <row r="162" spans="2:2" x14ac:dyDescent="0.2">
      <c r="B162" t="s">
        <v>2398</v>
      </c>
    </row>
    <row r="163" spans="2:2" x14ac:dyDescent="0.2">
      <c r="B163" t="s">
        <v>2399</v>
      </c>
    </row>
    <row r="164" spans="2:2" x14ac:dyDescent="0.2">
      <c r="B164" t="s">
        <v>2400</v>
      </c>
    </row>
    <row r="165" spans="2:2" x14ac:dyDescent="0.2">
      <c r="B165" t="s">
        <v>2401</v>
      </c>
    </row>
    <row r="166" spans="2:2" x14ac:dyDescent="0.2">
      <c r="B166" t="s">
        <v>2402</v>
      </c>
    </row>
    <row r="167" spans="2:2" x14ac:dyDescent="0.2">
      <c r="B167" t="s">
        <v>2403</v>
      </c>
    </row>
    <row r="168" spans="2:2" x14ac:dyDescent="0.2">
      <c r="B168" t="s">
        <v>2404</v>
      </c>
    </row>
    <row r="169" spans="2:2" x14ac:dyDescent="0.2">
      <c r="B169" t="s">
        <v>2405</v>
      </c>
    </row>
    <row r="170" spans="2:2" x14ac:dyDescent="0.2">
      <c r="B170" t="s">
        <v>2406</v>
      </c>
    </row>
    <row r="171" spans="2:2" x14ac:dyDescent="0.2">
      <c r="B171" t="s">
        <v>2407</v>
      </c>
    </row>
    <row r="172" spans="2:2" x14ac:dyDescent="0.2">
      <c r="B172" t="s">
        <v>2408</v>
      </c>
    </row>
    <row r="173" spans="2:2" x14ac:dyDescent="0.2">
      <c r="B173" t="s">
        <v>2409</v>
      </c>
    </row>
    <row r="174" spans="2:2" x14ac:dyDescent="0.2">
      <c r="B174" t="s">
        <v>2410</v>
      </c>
    </row>
    <row r="175" spans="2:2" x14ac:dyDescent="0.2">
      <c r="B175" t="s">
        <v>2411</v>
      </c>
    </row>
    <row r="176" spans="2:2" x14ac:dyDescent="0.2">
      <c r="B176" t="s">
        <v>2412</v>
      </c>
    </row>
    <row r="177" spans="2:2" x14ac:dyDescent="0.2">
      <c r="B177" t="s">
        <v>2413</v>
      </c>
    </row>
    <row r="178" spans="2:2" x14ac:dyDescent="0.2">
      <c r="B178" t="s">
        <v>2414</v>
      </c>
    </row>
    <row r="179" spans="2:2" x14ac:dyDescent="0.2">
      <c r="B179" t="s">
        <v>2415</v>
      </c>
    </row>
    <row r="180" spans="2:2" x14ac:dyDescent="0.2">
      <c r="B180" t="s">
        <v>2416</v>
      </c>
    </row>
    <row r="181" spans="2:2" x14ac:dyDescent="0.2">
      <c r="B181" t="s">
        <v>2417</v>
      </c>
    </row>
    <row r="182" spans="2:2" x14ac:dyDescent="0.2">
      <c r="B182" t="s">
        <v>2418</v>
      </c>
    </row>
    <row r="183" spans="2:2" x14ac:dyDescent="0.2">
      <c r="B183" t="s">
        <v>2419</v>
      </c>
    </row>
    <row r="184" spans="2:2" x14ac:dyDescent="0.2">
      <c r="B184" t="s">
        <v>2420</v>
      </c>
    </row>
    <row r="185" spans="2:2" x14ac:dyDescent="0.2">
      <c r="B185" t="s">
        <v>2421</v>
      </c>
    </row>
    <row r="186" spans="2:2" x14ac:dyDescent="0.2">
      <c r="B186" t="s">
        <v>2422</v>
      </c>
    </row>
    <row r="187" spans="2:2" x14ac:dyDescent="0.2">
      <c r="B187" t="s">
        <v>2423</v>
      </c>
    </row>
    <row r="188" spans="2:2" x14ac:dyDescent="0.2">
      <c r="B188" t="s">
        <v>2424</v>
      </c>
    </row>
    <row r="189" spans="2:2" x14ac:dyDescent="0.2">
      <c r="B189" t="s">
        <v>2425</v>
      </c>
    </row>
    <row r="190" spans="2:2" x14ac:dyDescent="0.2">
      <c r="B190" t="s">
        <v>2426</v>
      </c>
    </row>
    <row r="191" spans="2:2" x14ac:dyDescent="0.2">
      <c r="B191" t="s">
        <v>2427</v>
      </c>
    </row>
    <row r="192" spans="2:2" x14ac:dyDescent="0.2">
      <c r="B192" t="s">
        <v>2428</v>
      </c>
    </row>
    <row r="193" spans="2:2" x14ac:dyDescent="0.2">
      <c r="B193" t="s">
        <v>2429</v>
      </c>
    </row>
    <row r="194" spans="2:2" x14ac:dyDescent="0.2">
      <c r="B194" t="s">
        <v>2430</v>
      </c>
    </row>
    <row r="195" spans="2:2" x14ac:dyDescent="0.2">
      <c r="B195" t="s">
        <v>2431</v>
      </c>
    </row>
    <row r="196" spans="2:2" x14ac:dyDescent="0.2">
      <c r="B196" t="s">
        <v>2432</v>
      </c>
    </row>
    <row r="197" spans="2:2" x14ac:dyDescent="0.2">
      <c r="B197" t="s">
        <v>2433</v>
      </c>
    </row>
    <row r="198" spans="2:2" x14ac:dyDescent="0.2">
      <c r="B198" t="s">
        <v>2434</v>
      </c>
    </row>
    <row r="199" spans="2:2" x14ac:dyDescent="0.2">
      <c r="B199" t="s">
        <v>2435</v>
      </c>
    </row>
    <row r="200" spans="2:2" x14ac:dyDescent="0.2">
      <c r="B200" t="s">
        <v>2436</v>
      </c>
    </row>
    <row r="201" spans="2:2" x14ac:dyDescent="0.2">
      <c r="B201" t="s">
        <v>2437</v>
      </c>
    </row>
    <row r="202" spans="2:2" x14ac:dyDescent="0.2">
      <c r="B202" t="s">
        <v>2438</v>
      </c>
    </row>
    <row r="203" spans="2:2" x14ac:dyDescent="0.2">
      <c r="B203" t="s">
        <v>2439</v>
      </c>
    </row>
    <row r="204" spans="2:2" x14ac:dyDescent="0.2">
      <c r="B204" t="s">
        <v>2440</v>
      </c>
    </row>
    <row r="205" spans="2:2" x14ac:dyDescent="0.2">
      <c r="B205" t="s">
        <v>2441</v>
      </c>
    </row>
    <row r="206" spans="2:2" x14ac:dyDescent="0.2">
      <c r="B206" t="s">
        <v>2442</v>
      </c>
    </row>
    <row r="207" spans="2:2" x14ac:dyDescent="0.2">
      <c r="B207" t="s">
        <v>2443</v>
      </c>
    </row>
    <row r="208" spans="2:2" x14ac:dyDescent="0.2">
      <c r="B208" t="s">
        <v>2444</v>
      </c>
    </row>
    <row r="209" spans="2:2" x14ac:dyDescent="0.2">
      <c r="B209" t="s">
        <v>2445</v>
      </c>
    </row>
    <row r="210" spans="2:2" x14ac:dyDescent="0.2">
      <c r="B210" t="s">
        <v>2446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9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2447</v>
      </c>
    </row>
    <row r="3" spans="1:2" x14ac:dyDescent="0.2">
      <c r="B3" t="s">
        <v>2448</v>
      </c>
    </row>
    <row r="4" spans="1:2" x14ac:dyDescent="0.2">
      <c r="B4" t="s">
        <v>2449</v>
      </c>
    </row>
    <row r="5" spans="1:2" x14ac:dyDescent="0.2">
      <c r="B5" t="s">
        <v>2450</v>
      </c>
    </row>
    <row r="6" spans="1:2" x14ac:dyDescent="0.2">
      <c r="B6" t="s">
        <v>2451</v>
      </c>
    </row>
    <row r="7" spans="1:2" x14ac:dyDescent="0.2">
      <c r="B7" t="s">
        <v>2452</v>
      </c>
    </row>
    <row r="8" spans="1:2" x14ac:dyDescent="0.2">
      <c r="B8" t="s">
        <v>2453</v>
      </c>
    </row>
    <row r="9" spans="1:2" x14ac:dyDescent="0.2">
      <c r="B9" t="s">
        <v>2454</v>
      </c>
    </row>
    <row r="10" spans="1:2" x14ac:dyDescent="0.2">
      <c r="B10" t="s">
        <v>2455</v>
      </c>
    </row>
    <row r="11" spans="1:2" x14ac:dyDescent="0.2">
      <c r="B11" t="s">
        <v>2456</v>
      </c>
    </row>
    <row r="12" spans="1:2" x14ac:dyDescent="0.2">
      <c r="B12" t="s">
        <v>2457</v>
      </c>
    </row>
    <row r="13" spans="1:2" x14ac:dyDescent="0.2">
      <c r="B13" t="s">
        <v>2458</v>
      </c>
    </row>
    <row r="14" spans="1:2" x14ac:dyDescent="0.2">
      <c r="B14" t="s">
        <v>2459</v>
      </c>
    </row>
    <row r="15" spans="1:2" x14ac:dyDescent="0.2">
      <c r="B15" t="s">
        <v>2460</v>
      </c>
    </row>
    <row r="16" spans="1:2" x14ac:dyDescent="0.2">
      <c r="B16" t="s">
        <v>2461</v>
      </c>
    </row>
    <row r="17" spans="2:2" x14ac:dyDescent="0.2">
      <c r="B17" t="s">
        <v>2462</v>
      </c>
    </row>
    <row r="18" spans="2:2" x14ac:dyDescent="0.2">
      <c r="B18" t="s">
        <v>2463</v>
      </c>
    </row>
    <row r="19" spans="2:2" x14ac:dyDescent="0.2">
      <c r="B19" t="s">
        <v>2464</v>
      </c>
    </row>
    <row r="20" spans="2:2" x14ac:dyDescent="0.2">
      <c r="B20" t="s">
        <v>2465</v>
      </c>
    </row>
    <row r="21" spans="2:2" x14ac:dyDescent="0.2">
      <c r="B21" t="s">
        <v>2466</v>
      </c>
    </row>
    <row r="22" spans="2:2" x14ac:dyDescent="0.2">
      <c r="B22" t="s">
        <v>2467</v>
      </c>
    </row>
    <row r="23" spans="2:2" x14ac:dyDescent="0.2">
      <c r="B23" t="s">
        <v>2468</v>
      </c>
    </row>
    <row r="24" spans="2:2" x14ac:dyDescent="0.2">
      <c r="B24" t="s">
        <v>2469</v>
      </c>
    </row>
    <row r="25" spans="2:2" x14ac:dyDescent="0.2">
      <c r="B25" t="s">
        <v>2470</v>
      </c>
    </row>
    <row r="26" spans="2:2" x14ac:dyDescent="0.2">
      <c r="B26" t="s">
        <v>2471</v>
      </c>
    </row>
    <row r="27" spans="2:2" x14ac:dyDescent="0.2">
      <c r="B27" t="s">
        <v>2472</v>
      </c>
    </row>
    <row r="28" spans="2:2" x14ac:dyDescent="0.2">
      <c r="B28" t="s">
        <v>2473</v>
      </c>
    </row>
    <row r="29" spans="2:2" x14ac:dyDescent="0.2">
      <c r="B29" t="s">
        <v>2474</v>
      </c>
    </row>
    <row r="30" spans="2:2" x14ac:dyDescent="0.2">
      <c r="B30" t="s">
        <v>2475</v>
      </c>
    </row>
    <row r="31" spans="2:2" x14ac:dyDescent="0.2">
      <c r="B31" t="s">
        <v>2476</v>
      </c>
    </row>
    <row r="32" spans="2:2" x14ac:dyDescent="0.2">
      <c r="B32" t="s">
        <v>2477</v>
      </c>
    </row>
    <row r="33" spans="2:2" x14ac:dyDescent="0.2">
      <c r="B33" t="s">
        <v>2478</v>
      </c>
    </row>
    <row r="34" spans="2:2" x14ac:dyDescent="0.2">
      <c r="B34" t="s">
        <v>2479</v>
      </c>
    </row>
    <row r="35" spans="2:2" x14ac:dyDescent="0.2">
      <c r="B35" t="s">
        <v>2480</v>
      </c>
    </row>
    <row r="36" spans="2:2" x14ac:dyDescent="0.2">
      <c r="B36" t="s">
        <v>2481</v>
      </c>
    </row>
    <row r="37" spans="2:2" x14ac:dyDescent="0.2">
      <c r="B37" t="s">
        <v>2482</v>
      </c>
    </row>
    <row r="38" spans="2:2" x14ac:dyDescent="0.2">
      <c r="B38" t="s">
        <v>2483</v>
      </c>
    </row>
    <row r="39" spans="2:2" x14ac:dyDescent="0.2">
      <c r="B39" t="s">
        <v>2484</v>
      </c>
    </row>
    <row r="40" spans="2:2" x14ac:dyDescent="0.2">
      <c r="B40" t="s">
        <v>2485</v>
      </c>
    </row>
    <row r="41" spans="2:2" x14ac:dyDescent="0.2">
      <c r="B41" t="s">
        <v>2486</v>
      </c>
    </row>
    <row r="42" spans="2:2" x14ac:dyDescent="0.2">
      <c r="B42" t="s">
        <v>2487</v>
      </c>
    </row>
    <row r="43" spans="2:2" x14ac:dyDescent="0.2">
      <c r="B43" t="s">
        <v>2488</v>
      </c>
    </row>
    <row r="44" spans="2:2" x14ac:dyDescent="0.2">
      <c r="B44" t="s">
        <v>2489</v>
      </c>
    </row>
    <row r="45" spans="2:2" x14ac:dyDescent="0.2">
      <c r="B45" t="s">
        <v>2490</v>
      </c>
    </row>
    <row r="46" spans="2:2" x14ac:dyDescent="0.2">
      <c r="B46" t="s">
        <v>2491</v>
      </c>
    </row>
    <row r="47" spans="2:2" x14ac:dyDescent="0.2">
      <c r="B47" t="s">
        <v>2492</v>
      </c>
    </row>
    <row r="48" spans="2:2" x14ac:dyDescent="0.2">
      <c r="B48" t="s">
        <v>2493</v>
      </c>
    </row>
    <row r="49" spans="2:2" x14ac:dyDescent="0.2">
      <c r="B49" t="s">
        <v>2494</v>
      </c>
    </row>
    <row r="50" spans="2:2" x14ac:dyDescent="0.2">
      <c r="B50" t="s">
        <v>2495</v>
      </c>
    </row>
    <row r="51" spans="2:2" x14ac:dyDescent="0.2">
      <c r="B51" t="s">
        <v>2496</v>
      </c>
    </row>
    <row r="52" spans="2:2" x14ac:dyDescent="0.2">
      <c r="B52" t="s">
        <v>2497</v>
      </c>
    </row>
    <row r="53" spans="2:2" x14ac:dyDescent="0.2">
      <c r="B53" t="s">
        <v>2498</v>
      </c>
    </row>
    <row r="54" spans="2:2" x14ac:dyDescent="0.2">
      <c r="B54" t="s">
        <v>2499</v>
      </c>
    </row>
    <row r="55" spans="2:2" x14ac:dyDescent="0.2">
      <c r="B55" t="s">
        <v>2500</v>
      </c>
    </row>
    <row r="56" spans="2:2" x14ac:dyDescent="0.2">
      <c r="B56" t="s">
        <v>2501</v>
      </c>
    </row>
    <row r="57" spans="2:2" x14ac:dyDescent="0.2">
      <c r="B57" t="s">
        <v>2502</v>
      </c>
    </row>
    <row r="58" spans="2:2" x14ac:dyDescent="0.2">
      <c r="B58" t="s">
        <v>2503</v>
      </c>
    </row>
    <row r="59" spans="2:2" x14ac:dyDescent="0.2">
      <c r="B59" t="s">
        <v>2504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árok2"/>
  <dimension ref="A1:B98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2505</v>
      </c>
    </row>
    <row r="3" spans="1:2" x14ac:dyDescent="0.2">
      <c r="B3" t="s">
        <v>2506</v>
      </c>
    </row>
    <row r="4" spans="1:2" x14ac:dyDescent="0.2">
      <c r="B4" t="s">
        <v>2507</v>
      </c>
    </row>
    <row r="5" spans="1:2" x14ac:dyDescent="0.2">
      <c r="B5" t="s">
        <v>2508</v>
      </c>
    </row>
    <row r="6" spans="1:2" x14ac:dyDescent="0.2">
      <c r="B6" t="s">
        <v>2509</v>
      </c>
    </row>
    <row r="7" spans="1:2" x14ac:dyDescent="0.2">
      <c r="B7" t="s">
        <v>2510</v>
      </c>
    </row>
    <row r="8" spans="1:2" x14ac:dyDescent="0.2">
      <c r="B8" t="s">
        <v>2511</v>
      </c>
    </row>
    <row r="9" spans="1:2" x14ac:dyDescent="0.2">
      <c r="B9" t="s">
        <v>2512</v>
      </c>
    </row>
    <row r="10" spans="1:2" x14ac:dyDescent="0.2">
      <c r="B10" t="s">
        <v>2513</v>
      </c>
    </row>
    <row r="11" spans="1:2" x14ac:dyDescent="0.2">
      <c r="B11" t="s">
        <v>2514</v>
      </c>
    </row>
    <row r="12" spans="1:2" x14ac:dyDescent="0.2">
      <c r="B12" t="s">
        <v>2515</v>
      </c>
    </row>
    <row r="13" spans="1:2" x14ac:dyDescent="0.2">
      <c r="B13" t="s">
        <v>2516</v>
      </c>
    </row>
    <row r="14" spans="1:2" x14ac:dyDescent="0.2">
      <c r="B14" t="s">
        <v>2517</v>
      </c>
    </row>
    <row r="15" spans="1:2" x14ac:dyDescent="0.2">
      <c r="B15" t="s">
        <v>2518</v>
      </c>
    </row>
    <row r="16" spans="1:2" x14ac:dyDescent="0.2">
      <c r="B16" t="s">
        <v>2519</v>
      </c>
    </row>
    <row r="17" spans="2:2" x14ac:dyDescent="0.2">
      <c r="B17" t="s">
        <v>2520</v>
      </c>
    </row>
    <row r="18" spans="2:2" x14ac:dyDescent="0.2">
      <c r="B18" t="s">
        <v>2521</v>
      </c>
    </row>
    <row r="19" spans="2:2" x14ac:dyDescent="0.2">
      <c r="B19" t="s">
        <v>2522</v>
      </c>
    </row>
    <row r="20" spans="2:2" x14ac:dyDescent="0.2">
      <c r="B20" t="s">
        <v>2523</v>
      </c>
    </row>
    <row r="21" spans="2:2" x14ac:dyDescent="0.2">
      <c r="B21" t="s">
        <v>2524</v>
      </c>
    </row>
    <row r="22" spans="2:2" x14ac:dyDescent="0.2">
      <c r="B22" t="s">
        <v>2525</v>
      </c>
    </row>
    <row r="23" spans="2:2" x14ac:dyDescent="0.2">
      <c r="B23" t="s">
        <v>2526</v>
      </c>
    </row>
    <row r="24" spans="2:2" x14ac:dyDescent="0.2">
      <c r="B24" t="s">
        <v>2527</v>
      </c>
    </row>
    <row r="25" spans="2:2" x14ac:dyDescent="0.2">
      <c r="B25" t="s">
        <v>2528</v>
      </c>
    </row>
    <row r="26" spans="2:2" x14ac:dyDescent="0.2">
      <c r="B26" t="s">
        <v>2529</v>
      </c>
    </row>
    <row r="27" spans="2:2" x14ac:dyDescent="0.2">
      <c r="B27" t="s">
        <v>2530</v>
      </c>
    </row>
    <row r="28" spans="2:2" x14ac:dyDescent="0.2">
      <c r="B28" t="s">
        <v>2531</v>
      </c>
    </row>
    <row r="29" spans="2:2" x14ac:dyDescent="0.2">
      <c r="B29" t="s">
        <v>2532</v>
      </c>
    </row>
    <row r="30" spans="2:2" x14ac:dyDescent="0.2">
      <c r="B30" t="s">
        <v>2533</v>
      </c>
    </row>
    <row r="31" spans="2:2" x14ac:dyDescent="0.2">
      <c r="B31" t="s">
        <v>2534</v>
      </c>
    </row>
    <row r="32" spans="2:2" x14ac:dyDescent="0.2">
      <c r="B32" t="s">
        <v>2535</v>
      </c>
    </row>
    <row r="33" spans="2:2" x14ac:dyDescent="0.2">
      <c r="B33" t="s">
        <v>2536</v>
      </c>
    </row>
    <row r="34" spans="2:2" x14ac:dyDescent="0.2">
      <c r="B34" t="s">
        <v>2537</v>
      </c>
    </row>
    <row r="35" spans="2:2" x14ac:dyDescent="0.2">
      <c r="B35" t="s">
        <v>2538</v>
      </c>
    </row>
    <row r="36" spans="2:2" x14ac:dyDescent="0.2">
      <c r="B36" t="s">
        <v>2539</v>
      </c>
    </row>
    <row r="37" spans="2:2" x14ac:dyDescent="0.2">
      <c r="B37" t="s">
        <v>2540</v>
      </c>
    </row>
    <row r="38" spans="2:2" x14ac:dyDescent="0.2">
      <c r="B38" t="s">
        <v>2541</v>
      </c>
    </row>
    <row r="39" spans="2:2" x14ac:dyDescent="0.2">
      <c r="B39" t="s">
        <v>2542</v>
      </c>
    </row>
    <row r="40" spans="2:2" x14ac:dyDescent="0.2">
      <c r="B40" t="s">
        <v>2543</v>
      </c>
    </row>
    <row r="41" spans="2:2" x14ac:dyDescent="0.2">
      <c r="B41" t="s">
        <v>2544</v>
      </c>
    </row>
    <row r="42" spans="2:2" x14ac:dyDescent="0.2">
      <c r="B42" t="s">
        <v>2545</v>
      </c>
    </row>
    <row r="43" spans="2:2" x14ac:dyDescent="0.2">
      <c r="B43" t="s">
        <v>2546</v>
      </c>
    </row>
    <row r="44" spans="2:2" x14ac:dyDescent="0.2">
      <c r="B44" t="s">
        <v>2547</v>
      </c>
    </row>
    <row r="45" spans="2:2" x14ac:dyDescent="0.2">
      <c r="B45" t="s">
        <v>2548</v>
      </c>
    </row>
    <row r="46" spans="2:2" x14ac:dyDescent="0.2">
      <c r="B46" t="s">
        <v>2549</v>
      </c>
    </row>
    <row r="47" spans="2:2" x14ac:dyDescent="0.2">
      <c r="B47" t="s">
        <v>2550</v>
      </c>
    </row>
    <row r="48" spans="2:2" x14ac:dyDescent="0.2">
      <c r="B48" t="s">
        <v>2551</v>
      </c>
    </row>
    <row r="49" spans="2:2" x14ac:dyDescent="0.2">
      <c r="B49" t="s">
        <v>2552</v>
      </c>
    </row>
    <row r="50" spans="2:2" x14ac:dyDescent="0.2">
      <c r="B50" t="s">
        <v>2553</v>
      </c>
    </row>
    <row r="51" spans="2:2" x14ac:dyDescent="0.2">
      <c r="B51" t="s">
        <v>2554</v>
      </c>
    </row>
    <row r="52" spans="2:2" x14ac:dyDescent="0.2">
      <c r="B52" t="s">
        <v>2555</v>
      </c>
    </row>
    <row r="53" spans="2:2" x14ac:dyDescent="0.2">
      <c r="B53" t="s">
        <v>2556</v>
      </c>
    </row>
    <row r="54" spans="2:2" x14ac:dyDescent="0.2">
      <c r="B54" t="s">
        <v>2557</v>
      </c>
    </row>
    <row r="55" spans="2:2" x14ac:dyDescent="0.2">
      <c r="B55" t="s">
        <v>2558</v>
      </c>
    </row>
    <row r="56" spans="2:2" x14ac:dyDescent="0.2">
      <c r="B56" t="s">
        <v>2559</v>
      </c>
    </row>
    <row r="57" spans="2:2" x14ac:dyDescent="0.2">
      <c r="B57" t="s">
        <v>2560</v>
      </c>
    </row>
    <row r="58" spans="2:2" x14ac:dyDescent="0.2">
      <c r="B58" t="s">
        <v>2561</v>
      </c>
    </row>
    <row r="59" spans="2:2" x14ac:dyDescent="0.2">
      <c r="B59" t="s">
        <v>2562</v>
      </c>
    </row>
    <row r="60" spans="2:2" x14ac:dyDescent="0.2">
      <c r="B60" t="s">
        <v>2563</v>
      </c>
    </row>
    <row r="61" spans="2:2" x14ac:dyDescent="0.2">
      <c r="B61" t="s">
        <v>2564</v>
      </c>
    </row>
    <row r="62" spans="2:2" x14ac:dyDescent="0.2">
      <c r="B62" t="s">
        <v>2565</v>
      </c>
    </row>
    <row r="63" spans="2:2" x14ac:dyDescent="0.2">
      <c r="B63" t="s">
        <v>2566</v>
      </c>
    </row>
    <row r="64" spans="2:2" x14ac:dyDescent="0.2">
      <c r="B64" t="s">
        <v>2567</v>
      </c>
    </row>
    <row r="65" spans="2:2" x14ac:dyDescent="0.2">
      <c r="B65" t="s">
        <v>2568</v>
      </c>
    </row>
    <row r="66" spans="2:2" x14ac:dyDescent="0.2">
      <c r="B66" t="s">
        <v>2569</v>
      </c>
    </row>
    <row r="67" spans="2:2" x14ac:dyDescent="0.2">
      <c r="B67" t="s">
        <v>2570</v>
      </c>
    </row>
    <row r="68" spans="2:2" x14ac:dyDescent="0.2">
      <c r="B68" t="s">
        <v>2571</v>
      </c>
    </row>
    <row r="69" spans="2:2" x14ac:dyDescent="0.2">
      <c r="B69" t="s">
        <v>2572</v>
      </c>
    </row>
    <row r="70" spans="2:2" x14ac:dyDescent="0.2">
      <c r="B70" t="s">
        <v>2573</v>
      </c>
    </row>
    <row r="71" spans="2:2" x14ac:dyDescent="0.2">
      <c r="B71" t="s">
        <v>2574</v>
      </c>
    </row>
    <row r="72" spans="2:2" x14ac:dyDescent="0.2">
      <c r="B72" t="s">
        <v>2575</v>
      </c>
    </row>
    <row r="73" spans="2:2" x14ac:dyDescent="0.2">
      <c r="B73" t="s">
        <v>2576</v>
      </c>
    </row>
    <row r="74" spans="2:2" x14ac:dyDescent="0.2">
      <c r="B74" t="s">
        <v>2577</v>
      </c>
    </row>
    <row r="75" spans="2:2" x14ac:dyDescent="0.2">
      <c r="B75" t="s">
        <v>2578</v>
      </c>
    </row>
    <row r="76" spans="2:2" x14ac:dyDescent="0.2">
      <c r="B76" t="s">
        <v>2579</v>
      </c>
    </row>
    <row r="77" spans="2:2" x14ac:dyDescent="0.2">
      <c r="B77" t="s">
        <v>2580</v>
      </c>
    </row>
    <row r="78" spans="2:2" x14ac:dyDescent="0.2">
      <c r="B78" t="s">
        <v>2581</v>
      </c>
    </row>
    <row r="79" spans="2:2" x14ac:dyDescent="0.2">
      <c r="B79" t="s">
        <v>2582</v>
      </c>
    </row>
    <row r="80" spans="2:2" x14ac:dyDescent="0.2">
      <c r="B80" t="s">
        <v>2583</v>
      </c>
    </row>
    <row r="81" spans="2:2" x14ac:dyDescent="0.2">
      <c r="B81" t="s">
        <v>2584</v>
      </c>
    </row>
    <row r="82" spans="2:2" x14ac:dyDescent="0.2">
      <c r="B82" t="s">
        <v>2585</v>
      </c>
    </row>
    <row r="83" spans="2:2" x14ac:dyDescent="0.2">
      <c r="B83" t="s">
        <v>2586</v>
      </c>
    </row>
    <row r="84" spans="2:2" x14ac:dyDescent="0.2">
      <c r="B84" t="s">
        <v>2587</v>
      </c>
    </row>
    <row r="85" spans="2:2" x14ac:dyDescent="0.2">
      <c r="B85" t="s">
        <v>2588</v>
      </c>
    </row>
    <row r="86" spans="2:2" x14ac:dyDescent="0.2">
      <c r="B86" t="s">
        <v>2589</v>
      </c>
    </row>
    <row r="87" spans="2:2" x14ac:dyDescent="0.2">
      <c r="B87" t="s">
        <v>2590</v>
      </c>
    </row>
    <row r="88" spans="2:2" x14ac:dyDescent="0.2">
      <c r="B88" t="s">
        <v>2591</v>
      </c>
    </row>
    <row r="89" spans="2:2" x14ac:dyDescent="0.2">
      <c r="B89" t="s">
        <v>2592</v>
      </c>
    </row>
    <row r="90" spans="2:2" x14ac:dyDescent="0.2">
      <c r="B90" t="s">
        <v>2593</v>
      </c>
    </row>
    <row r="91" spans="2:2" x14ac:dyDescent="0.2">
      <c r="B91" t="s">
        <v>2594</v>
      </c>
    </row>
    <row r="92" spans="2:2" x14ac:dyDescent="0.2">
      <c r="B92" t="s">
        <v>2595</v>
      </c>
    </row>
    <row r="93" spans="2:2" x14ac:dyDescent="0.2">
      <c r="B93" t="s">
        <v>2596</v>
      </c>
    </row>
    <row r="94" spans="2:2" x14ac:dyDescent="0.2">
      <c r="B94" t="s">
        <v>2597</v>
      </c>
    </row>
    <row r="95" spans="2:2" x14ac:dyDescent="0.2">
      <c r="B95" t="s">
        <v>2598</v>
      </c>
    </row>
    <row r="96" spans="2:2" x14ac:dyDescent="0.2">
      <c r="B96" t="s">
        <v>2599</v>
      </c>
    </row>
    <row r="97" spans="2:2" x14ac:dyDescent="0.2">
      <c r="B97" t="s">
        <v>2600</v>
      </c>
    </row>
    <row r="98" spans="2:2" x14ac:dyDescent="0.2">
      <c r="B98" t="s">
        <v>2601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2602</v>
      </c>
    </row>
    <row r="3" spans="1:2" x14ac:dyDescent="0.2">
      <c r="B3" t="s">
        <v>2603</v>
      </c>
    </row>
    <row r="4" spans="1:2" x14ac:dyDescent="0.2">
      <c r="B4" t="s">
        <v>2604</v>
      </c>
    </row>
    <row r="5" spans="1:2" x14ac:dyDescent="0.2">
      <c r="B5" t="s">
        <v>2605</v>
      </c>
    </row>
    <row r="6" spans="1:2" x14ac:dyDescent="0.2">
      <c r="B6" t="s">
        <v>2606</v>
      </c>
    </row>
    <row r="7" spans="1:2" x14ac:dyDescent="0.2">
      <c r="B7" t="s">
        <v>2607</v>
      </c>
    </row>
    <row r="8" spans="1:2" x14ac:dyDescent="0.2">
      <c r="B8" t="s">
        <v>2608</v>
      </c>
    </row>
    <row r="9" spans="1:2" x14ac:dyDescent="0.2">
      <c r="B9" t="s">
        <v>2609</v>
      </c>
    </row>
    <row r="10" spans="1:2" x14ac:dyDescent="0.2">
      <c r="B10" t="s">
        <v>2610</v>
      </c>
    </row>
    <row r="11" spans="1:2" x14ac:dyDescent="0.2">
      <c r="B11" t="s">
        <v>2611</v>
      </c>
    </row>
    <row r="12" spans="1:2" x14ac:dyDescent="0.2">
      <c r="B12" t="s">
        <v>2612</v>
      </c>
    </row>
    <row r="13" spans="1:2" x14ac:dyDescent="0.2">
      <c r="B13" t="s">
        <v>2613</v>
      </c>
    </row>
    <row r="14" spans="1:2" x14ac:dyDescent="0.2">
      <c r="B14" t="s">
        <v>2614</v>
      </c>
    </row>
    <row r="15" spans="1:2" x14ac:dyDescent="0.2">
      <c r="B15" t="s">
        <v>2615</v>
      </c>
    </row>
    <row r="16" spans="1:2" x14ac:dyDescent="0.2">
      <c r="B16" t="s">
        <v>2616</v>
      </c>
    </row>
    <row r="17" spans="2:2" x14ac:dyDescent="0.2">
      <c r="B17" t="s">
        <v>2617</v>
      </c>
    </row>
    <row r="18" spans="2:2" x14ac:dyDescent="0.2">
      <c r="B18" t="s">
        <v>2618</v>
      </c>
    </row>
    <row r="19" spans="2:2" x14ac:dyDescent="0.2">
      <c r="B19" t="s">
        <v>2619</v>
      </c>
    </row>
    <row r="20" spans="2:2" x14ac:dyDescent="0.2">
      <c r="B20" t="s">
        <v>2620</v>
      </c>
    </row>
    <row r="21" spans="2:2" x14ac:dyDescent="0.2">
      <c r="B21" t="s">
        <v>2621</v>
      </c>
    </row>
    <row r="22" spans="2:2" x14ac:dyDescent="0.2">
      <c r="B22" t="s">
        <v>2622</v>
      </c>
    </row>
    <row r="23" spans="2:2" x14ac:dyDescent="0.2">
      <c r="B23" t="s">
        <v>2623</v>
      </c>
    </row>
    <row r="24" spans="2:2" x14ac:dyDescent="0.2">
      <c r="B24" t="s">
        <v>2624</v>
      </c>
    </row>
    <row r="25" spans="2:2" x14ac:dyDescent="0.2">
      <c r="B25" t="s">
        <v>2625</v>
      </c>
    </row>
    <row r="26" spans="2:2" x14ac:dyDescent="0.2">
      <c r="B26" t="s">
        <v>2626</v>
      </c>
    </row>
    <row r="27" spans="2:2" x14ac:dyDescent="0.2">
      <c r="B27" t="s">
        <v>2627</v>
      </c>
    </row>
    <row r="28" spans="2:2" x14ac:dyDescent="0.2">
      <c r="B28" t="s">
        <v>2628</v>
      </c>
    </row>
    <row r="29" spans="2:2" x14ac:dyDescent="0.2">
      <c r="B29" t="s">
        <v>2629</v>
      </c>
    </row>
    <row r="30" spans="2:2" x14ac:dyDescent="0.2">
      <c r="B30" t="s">
        <v>2630</v>
      </c>
    </row>
    <row r="31" spans="2:2" x14ac:dyDescent="0.2">
      <c r="B31" t="s">
        <v>2631</v>
      </c>
    </row>
    <row r="32" spans="2:2" x14ac:dyDescent="0.2">
      <c r="B32" t="s">
        <v>2632</v>
      </c>
    </row>
    <row r="33" spans="2:2" x14ac:dyDescent="0.2">
      <c r="B33" t="s">
        <v>2633</v>
      </c>
    </row>
    <row r="34" spans="2:2" x14ac:dyDescent="0.2">
      <c r="B34" t="s">
        <v>2634</v>
      </c>
    </row>
    <row r="35" spans="2:2" x14ac:dyDescent="0.2">
      <c r="B35" t="s">
        <v>2635</v>
      </c>
    </row>
    <row r="36" spans="2:2" x14ac:dyDescent="0.2">
      <c r="B36" t="s">
        <v>2636</v>
      </c>
    </row>
    <row r="37" spans="2:2" x14ac:dyDescent="0.2">
      <c r="B37" t="s">
        <v>2637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5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2638</v>
      </c>
    </row>
    <row r="3" spans="1:2" x14ac:dyDescent="0.2">
      <c r="B3" t="s">
        <v>2639</v>
      </c>
    </row>
    <row r="4" spans="1:2" x14ac:dyDescent="0.2">
      <c r="B4" t="s">
        <v>2640</v>
      </c>
    </row>
    <row r="5" spans="1:2" x14ac:dyDescent="0.2">
      <c r="B5" t="s">
        <v>2641</v>
      </c>
    </row>
    <row r="6" spans="1:2" x14ac:dyDescent="0.2">
      <c r="B6" t="s">
        <v>2642</v>
      </c>
    </row>
    <row r="7" spans="1:2" x14ac:dyDescent="0.2">
      <c r="B7" t="s">
        <v>2643</v>
      </c>
    </row>
    <row r="8" spans="1:2" x14ac:dyDescent="0.2">
      <c r="B8" t="s">
        <v>2644</v>
      </c>
    </row>
    <row r="9" spans="1:2" x14ac:dyDescent="0.2">
      <c r="B9" t="s">
        <v>2645</v>
      </c>
    </row>
    <row r="10" spans="1:2" x14ac:dyDescent="0.2">
      <c r="B10" t="s">
        <v>2646</v>
      </c>
    </row>
    <row r="11" spans="1:2" x14ac:dyDescent="0.2">
      <c r="B11" t="s">
        <v>2647</v>
      </c>
    </row>
    <row r="12" spans="1:2" x14ac:dyDescent="0.2">
      <c r="B12" t="s">
        <v>2648</v>
      </c>
    </row>
    <row r="13" spans="1:2" x14ac:dyDescent="0.2">
      <c r="B13" t="s">
        <v>2649</v>
      </c>
    </row>
    <row r="14" spans="1:2" x14ac:dyDescent="0.2">
      <c r="B14" t="s">
        <v>2650</v>
      </c>
    </row>
    <row r="15" spans="1:2" x14ac:dyDescent="0.2">
      <c r="B15" t="s">
        <v>2651</v>
      </c>
    </row>
    <row r="16" spans="1:2" x14ac:dyDescent="0.2">
      <c r="B16" t="s">
        <v>2652</v>
      </c>
    </row>
    <row r="17" spans="2:2" x14ac:dyDescent="0.2">
      <c r="B17" t="s">
        <v>2653</v>
      </c>
    </row>
    <row r="18" spans="2:2" x14ac:dyDescent="0.2">
      <c r="B18" t="s">
        <v>2654</v>
      </c>
    </row>
    <row r="19" spans="2:2" x14ac:dyDescent="0.2">
      <c r="B19" t="s">
        <v>2655</v>
      </c>
    </row>
    <row r="20" spans="2:2" x14ac:dyDescent="0.2">
      <c r="B20" t="s">
        <v>2656</v>
      </c>
    </row>
    <row r="21" spans="2:2" x14ac:dyDescent="0.2">
      <c r="B21" t="s">
        <v>2657</v>
      </c>
    </row>
    <row r="22" spans="2:2" x14ac:dyDescent="0.2">
      <c r="B22" t="s">
        <v>2658</v>
      </c>
    </row>
    <row r="23" spans="2:2" x14ac:dyDescent="0.2">
      <c r="B23" t="s">
        <v>2659</v>
      </c>
    </row>
    <row r="24" spans="2:2" x14ac:dyDescent="0.2">
      <c r="B24" t="s">
        <v>2660</v>
      </c>
    </row>
    <row r="25" spans="2:2" x14ac:dyDescent="0.2">
      <c r="B25" t="s">
        <v>2661</v>
      </c>
    </row>
    <row r="26" spans="2:2" x14ac:dyDescent="0.2">
      <c r="B26" t="s">
        <v>2662</v>
      </c>
    </row>
    <row r="27" spans="2:2" x14ac:dyDescent="0.2">
      <c r="B27" t="s">
        <v>2663</v>
      </c>
    </row>
    <row r="28" spans="2:2" x14ac:dyDescent="0.2">
      <c r="B28" t="s">
        <v>2664</v>
      </c>
    </row>
    <row r="29" spans="2:2" x14ac:dyDescent="0.2">
      <c r="B29" t="s">
        <v>2665</v>
      </c>
    </row>
    <row r="30" spans="2:2" x14ac:dyDescent="0.2">
      <c r="B30" t="s">
        <v>2666</v>
      </c>
    </row>
    <row r="31" spans="2:2" x14ac:dyDescent="0.2">
      <c r="B31" t="s">
        <v>2667</v>
      </c>
    </row>
    <row r="32" spans="2:2" x14ac:dyDescent="0.2">
      <c r="B32" t="s">
        <v>2668</v>
      </c>
    </row>
    <row r="33" spans="2:2" x14ac:dyDescent="0.2">
      <c r="B33" t="s">
        <v>2669</v>
      </c>
    </row>
    <row r="34" spans="2:2" x14ac:dyDescent="0.2">
      <c r="B34" t="s">
        <v>2670</v>
      </c>
    </row>
    <row r="35" spans="2:2" x14ac:dyDescent="0.2">
      <c r="B35" t="s">
        <v>2671</v>
      </c>
    </row>
    <row r="36" spans="2:2" x14ac:dyDescent="0.2">
      <c r="B36" t="s">
        <v>2672</v>
      </c>
    </row>
    <row r="37" spans="2:2" x14ac:dyDescent="0.2">
      <c r="B37" t="s">
        <v>2673</v>
      </c>
    </row>
    <row r="38" spans="2:2" x14ac:dyDescent="0.2">
      <c r="B38" t="s">
        <v>2674</v>
      </c>
    </row>
    <row r="39" spans="2:2" x14ac:dyDescent="0.2">
      <c r="B39" t="s">
        <v>2675</v>
      </c>
    </row>
    <row r="40" spans="2:2" x14ac:dyDescent="0.2">
      <c r="B40" t="s">
        <v>2676</v>
      </c>
    </row>
    <row r="41" spans="2:2" x14ac:dyDescent="0.2">
      <c r="B41" t="s">
        <v>2677</v>
      </c>
    </row>
    <row r="42" spans="2:2" x14ac:dyDescent="0.2">
      <c r="B42" t="s">
        <v>2678</v>
      </c>
    </row>
    <row r="43" spans="2:2" x14ac:dyDescent="0.2">
      <c r="B43" t="s">
        <v>2679</v>
      </c>
    </row>
    <row r="44" spans="2:2" x14ac:dyDescent="0.2">
      <c r="B44" t="s">
        <v>2680</v>
      </c>
    </row>
    <row r="45" spans="2:2" x14ac:dyDescent="0.2">
      <c r="B45" t="s">
        <v>2681</v>
      </c>
    </row>
    <row r="46" spans="2:2" x14ac:dyDescent="0.2">
      <c r="B46" t="s">
        <v>2682</v>
      </c>
    </row>
    <row r="47" spans="2:2" x14ac:dyDescent="0.2">
      <c r="B47" t="s">
        <v>2683</v>
      </c>
    </row>
    <row r="48" spans="2:2" x14ac:dyDescent="0.2">
      <c r="B48" t="s">
        <v>2684</v>
      </c>
    </row>
    <row r="49" spans="2:2" x14ac:dyDescent="0.2">
      <c r="B49" t="s">
        <v>2685</v>
      </c>
    </row>
    <row r="50" spans="2:2" x14ac:dyDescent="0.2">
      <c r="B50" t="s">
        <v>2686</v>
      </c>
    </row>
    <row r="51" spans="2:2" x14ac:dyDescent="0.2">
      <c r="B51" t="s">
        <v>2687</v>
      </c>
    </row>
    <row r="52" spans="2:2" x14ac:dyDescent="0.2">
      <c r="B52" t="s">
        <v>2688</v>
      </c>
    </row>
    <row r="53" spans="2:2" x14ac:dyDescent="0.2">
      <c r="B53" t="s">
        <v>2689</v>
      </c>
    </row>
    <row r="54" spans="2:2" x14ac:dyDescent="0.2">
      <c r="B54" t="s">
        <v>2690</v>
      </c>
    </row>
    <row r="55" spans="2:2" x14ac:dyDescent="0.2">
      <c r="B55" t="s">
        <v>2691</v>
      </c>
    </row>
    <row r="56" spans="2:2" x14ac:dyDescent="0.2">
      <c r="B56" t="s">
        <v>2692</v>
      </c>
    </row>
    <row r="57" spans="2:2" x14ac:dyDescent="0.2">
      <c r="B57" t="s">
        <v>2693</v>
      </c>
    </row>
    <row r="58" spans="2:2" x14ac:dyDescent="0.2">
      <c r="B58" t="s">
        <v>2694</v>
      </c>
    </row>
    <row r="59" spans="2:2" x14ac:dyDescent="0.2">
      <c r="B59" t="s">
        <v>2695</v>
      </c>
    </row>
    <row r="60" spans="2:2" x14ac:dyDescent="0.2">
      <c r="B60" t="s">
        <v>2696</v>
      </c>
    </row>
    <row r="61" spans="2:2" x14ac:dyDescent="0.2">
      <c r="B61" t="s">
        <v>2697</v>
      </c>
    </row>
    <row r="62" spans="2:2" x14ac:dyDescent="0.2">
      <c r="B62" t="s">
        <v>2698</v>
      </c>
    </row>
    <row r="63" spans="2:2" x14ac:dyDescent="0.2">
      <c r="B63" t="s">
        <v>2699</v>
      </c>
    </row>
    <row r="64" spans="2:2" x14ac:dyDescent="0.2">
      <c r="B64" t="s">
        <v>2700</v>
      </c>
    </row>
    <row r="65" spans="2:2" x14ac:dyDescent="0.2">
      <c r="B65" t="s">
        <v>2701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2"/>
  <sheetViews>
    <sheetView workbookViewId="0"/>
  </sheetViews>
  <sheetFormatPr baseColWidth="10" defaultColWidth="8.83203125" defaultRowHeight="15" x14ac:dyDescent="0.2"/>
  <cols>
    <col min="1" max="1" width="11.6640625" customWidth="1"/>
    <col min="2" max="3" width="22.6640625" customWidth="1"/>
    <col min="4" max="4" width="9.5" bestFit="1" customWidth="1"/>
  </cols>
  <sheetData>
    <row r="1" spans="1:3" x14ac:dyDescent="0.2">
      <c r="A1" s="1" t="s">
        <v>54</v>
      </c>
      <c r="B1" s="1" t="s">
        <v>55</v>
      </c>
      <c r="C1" s="1" t="s">
        <v>2702</v>
      </c>
    </row>
    <row r="2" spans="1:3" x14ac:dyDescent="0.2">
      <c r="B2" t="s">
        <v>2703</v>
      </c>
      <c r="C2" t="s">
        <v>2704</v>
      </c>
    </row>
    <row r="3" spans="1:3" x14ac:dyDescent="0.2">
      <c r="B3" t="s">
        <v>2705</v>
      </c>
      <c r="C3" t="s">
        <v>2706</v>
      </c>
    </row>
    <row r="4" spans="1:3" x14ac:dyDescent="0.2">
      <c r="B4" t="s">
        <v>2707</v>
      </c>
      <c r="C4" t="s">
        <v>2708</v>
      </c>
    </row>
    <row r="5" spans="1:3" x14ac:dyDescent="0.2">
      <c r="B5" t="s">
        <v>2709</v>
      </c>
      <c r="C5" t="s">
        <v>2708</v>
      </c>
    </row>
    <row r="6" spans="1:3" x14ac:dyDescent="0.2">
      <c r="B6" t="s">
        <v>2710</v>
      </c>
      <c r="C6" t="s">
        <v>2711</v>
      </c>
    </row>
    <row r="7" spans="1:3" x14ac:dyDescent="0.2">
      <c r="B7" t="s">
        <v>2712</v>
      </c>
      <c r="C7" t="s">
        <v>2713</v>
      </c>
    </row>
    <row r="8" spans="1:3" x14ac:dyDescent="0.2">
      <c r="B8" t="s">
        <v>2714</v>
      </c>
      <c r="C8" t="s">
        <v>2706</v>
      </c>
    </row>
    <row r="9" spans="1:3" x14ac:dyDescent="0.2">
      <c r="B9" t="s">
        <v>2715</v>
      </c>
      <c r="C9" t="s">
        <v>2713</v>
      </c>
    </row>
    <row r="10" spans="1:3" x14ac:dyDescent="0.2">
      <c r="B10" t="s">
        <v>2716</v>
      </c>
      <c r="C10" t="s">
        <v>2717</v>
      </c>
    </row>
    <row r="11" spans="1:3" x14ac:dyDescent="0.2">
      <c r="B11" t="s">
        <v>2718</v>
      </c>
      <c r="C11" t="s">
        <v>2706</v>
      </c>
    </row>
    <row r="12" spans="1:3" x14ac:dyDescent="0.2">
      <c r="B12" t="s">
        <v>2719</v>
      </c>
      <c r="C12" t="s">
        <v>2713</v>
      </c>
    </row>
    <row r="13" spans="1:3" x14ac:dyDescent="0.2">
      <c r="B13" t="s">
        <v>2720</v>
      </c>
      <c r="C13" t="s">
        <v>2713</v>
      </c>
    </row>
    <row r="14" spans="1:3" x14ac:dyDescent="0.2">
      <c r="B14" t="s">
        <v>2721</v>
      </c>
      <c r="C14" t="s">
        <v>2706</v>
      </c>
    </row>
    <row r="15" spans="1:3" x14ac:dyDescent="0.2">
      <c r="B15" t="s">
        <v>2722</v>
      </c>
      <c r="C15" t="s">
        <v>2711</v>
      </c>
    </row>
    <row r="16" spans="1:3" x14ac:dyDescent="0.2">
      <c r="B16" t="s">
        <v>2723</v>
      </c>
      <c r="C16" t="s">
        <v>2713</v>
      </c>
    </row>
    <row r="17" spans="2:3" x14ac:dyDescent="0.2">
      <c r="B17" t="s">
        <v>2724</v>
      </c>
      <c r="C17" t="s">
        <v>2725</v>
      </c>
    </row>
    <row r="18" spans="2:3" x14ac:dyDescent="0.2">
      <c r="B18" t="s">
        <v>2726</v>
      </c>
      <c r="C18" t="s">
        <v>2704</v>
      </c>
    </row>
    <row r="19" spans="2:3" x14ac:dyDescent="0.2">
      <c r="B19" t="s">
        <v>2727</v>
      </c>
      <c r="C19" t="s">
        <v>2706</v>
      </c>
    </row>
    <row r="20" spans="2:3" x14ac:dyDescent="0.2">
      <c r="B20" t="s">
        <v>2728</v>
      </c>
      <c r="C20" t="s">
        <v>2708</v>
      </c>
    </row>
    <row r="21" spans="2:3" x14ac:dyDescent="0.2">
      <c r="B21" t="s">
        <v>2729</v>
      </c>
      <c r="C21" t="s">
        <v>2713</v>
      </c>
    </row>
    <row r="22" spans="2:3" x14ac:dyDescent="0.2">
      <c r="B22" t="s">
        <v>2730</v>
      </c>
      <c r="C22" t="s">
        <v>2711</v>
      </c>
    </row>
    <row r="23" spans="2:3" x14ac:dyDescent="0.2">
      <c r="B23" t="s">
        <v>2731</v>
      </c>
      <c r="C23" t="s">
        <v>2711</v>
      </c>
    </row>
    <row r="24" spans="2:3" x14ac:dyDescent="0.2">
      <c r="B24" t="s">
        <v>2732</v>
      </c>
      <c r="C24" t="s">
        <v>2708</v>
      </c>
    </row>
    <row r="25" spans="2:3" x14ac:dyDescent="0.2">
      <c r="B25" t="s">
        <v>2733</v>
      </c>
      <c r="C25" t="s">
        <v>2713</v>
      </c>
    </row>
    <row r="26" spans="2:3" x14ac:dyDescent="0.2">
      <c r="B26" t="s">
        <v>2734</v>
      </c>
      <c r="C26" t="s">
        <v>2704</v>
      </c>
    </row>
    <row r="27" spans="2:3" x14ac:dyDescent="0.2">
      <c r="B27" t="s">
        <v>2735</v>
      </c>
      <c r="C27" t="s">
        <v>2711</v>
      </c>
    </row>
    <row r="28" spans="2:3" x14ac:dyDescent="0.2">
      <c r="B28" t="s">
        <v>2736</v>
      </c>
      <c r="C28" t="s">
        <v>2708</v>
      </c>
    </row>
    <row r="29" spans="2:3" x14ac:dyDescent="0.2">
      <c r="B29" t="s">
        <v>2737</v>
      </c>
      <c r="C29" t="s">
        <v>2708</v>
      </c>
    </row>
    <row r="30" spans="2:3" x14ac:dyDescent="0.2">
      <c r="B30" t="s">
        <v>2738</v>
      </c>
      <c r="C30" t="s">
        <v>2711</v>
      </c>
    </row>
    <row r="31" spans="2:3" x14ac:dyDescent="0.2">
      <c r="B31" t="s">
        <v>2739</v>
      </c>
      <c r="C31" t="s">
        <v>2706</v>
      </c>
    </row>
    <row r="32" spans="2:3" x14ac:dyDescent="0.2">
      <c r="B32" t="s">
        <v>2740</v>
      </c>
      <c r="C32" t="s">
        <v>2713</v>
      </c>
    </row>
    <row r="33" spans="2:3" x14ac:dyDescent="0.2">
      <c r="B33" t="s">
        <v>2741</v>
      </c>
      <c r="C33" t="s">
        <v>2704</v>
      </c>
    </row>
    <row r="34" spans="2:3" x14ac:dyDescent="0.2">
      <c r="B34" t="s">
        <v>2742</v>
      </c>
      <c r="C34" t="s">
        <v>2706</v>
      </c>
    </row>
    <row r="35" spans="2:3" x14ac:dyDescent="0.2">
      <c r="B35" t="s">
        <v>2743</v>
      </c>
      <c r="C35" t="s">
        <v>2708</v>
      </c>
    </row>
    <row r="36" spans="2:3" x14ac:dyDescent="0.2">
      <c r="B36" t="s">
        <v>2744</v>
      </c>
      <c r="C36" t="s">
        <v>2704</v>
      </c>
    </row>
    <row r="37" spans="2:3" x14ac:dyDescent="0.2">
      <c r="B37" t="s">
        <v>2745</v>
      </c>
      <c r="C37" t="s">
        <v>2713</v>
      </c>
    </row>
    <row r="38" spans="2:3" x14ac:dyDescent="0.2">
      <c r="B38" t="s">
        <v>2746</v>
      </c>
      <c r="C38" t="s">
        <v>2717</v>
      </c>
    </row>
    <row r="39" spans="2:3" x14ac:dyDescent="0.2">
      <c r="B39" t="s">
        <v>2747</v>
      </c>
      <c r="C39" t="s">
        <v>2706</v>
      </c>
    </row>
    <row r="40" spans="2:3" x14ac:dyDescent="0.2">
      <c r="B40" t="s">
        <v>2748</v>
      </c>
      <c r="C40" t="s">
        <v>2713</v>
      </c>
    </row>
    <row r="41" spans="2:3" x14ac:dyDescent="0.2">
      <c r="B41" t="s">
        <v>2749</v>
      </c>
      <c r="C41" t="s">
        <v>2711</v>
      </c>
    </row>
    <row r="42" spans="2:3" x14ac:dyDescent="0.2">
      <c r="B42" t="s">
        <v>2750</v>
      </c>
      <c r="C42" t="s">
        <v>2706</v>
      </c>
    </row>
    <row r="43" spans="2:3" x14ac:dyDescent="0.2">
      <c r="B43" t="s">
        <v>2751</v>
      </c>
      <c r="C43" t="s">
        <v>2711</v>
      </c>
    </row>
    <row r="44" spans="2:3" x14ac:dyDescent="0.2">
      <c r="B44" t="s">
        <v>2752</v>
      </c>
      <c r="C44" t="s">
        <v>2708</v>
      </c>
    </row>
    <row r="45" spans="2:3" x14ac:dyDescent="0.2">
      <c r="B45" t="s">
        <v>2753</v>
      </c>
      <c r="C45" t="s">
        <v>2704</v>
      </c>
    </row>
    <row r="46" spans="2:3" x14ac:dyDescent="0.2">
      <c r="B46" t="s">
        <v>2754</v>
      </c>
      <c r="C46" t="s">
        <v>2708</v>
      </c>
    </row>
    <row r="47" spans="2:3" x14ac:dyDescent="0.2">
      <c r="B47" t="s">
        <v>2755</v>
      </c>
      <c r="C47" t="s">
        <v>2713</v>
      </c>
    </row>
    <row r="48" spans="2:3" x14ac:dyDescent="0.2">
      <c r="B48" t="s">
        <v>2756</v>
      </c>
      <c r="C48" t="s">
        <v>2711</v>
      </c>
    </row>
    <row r="49" spans="2:3" x14ac:dyDescent="0.2">
      <c r="B49" t="s">
        <v>2757</v>
      </c>
      <c r="C49" t="s">
        <v>2706</v>
      </c>
    </row>
    <row r="50" spans="2:3" x14ac:dyDescent="0.2">
      <c r="B50" t="s">
        <v>2758</v>
      </c>
      <c r="C50" t="s">
        <v>2704</v>
      </c>
    </row>
    <row r="51" spans="2:3" x14ac:dyDescent="0.2">
      <c r="B51" t="s">
        <v>2759</v>
      </c>
      <c r="C51" t="s">
        <v>2708</v>
      </c>
    </row>
    <row r="52" spans="2:3" x14ac:dyDescent="0.2">
      <c r="B52" t="s">
        <v>2760</v>
      </c>
      <c r="C52" t="s">
        <v>2708</v>
      </c>
    </row>
    <row r="53" spans="2:3" x14ac:dyDescent="0.2">
      <c r="B53" t="s">
        <v>2761</v>
      </c>
      <c r="C53" t="s">
        <v>2704</v>
      </c>
    </row>
    <row r="54" spans="2:3" x14ac:dyDescent="0.2">
      <c r="B54" t="s">
        <v>2762</v>
      </c>
      <c r="C54" t="s">
        <v>2706</v>
      </c>
    </row>
    <row r="55" spans="2:3" x14ac:dyDescent="0.2">
      <c r="B55" t="s">
        <v>2763</v>
      </c>
      <c r="C55" t="s">
        <v>2713</v>
      </c>
    </row>
    <row r="56" spans="2:3" x14ac:dyDescent="0.2">
      <c r="B56" t="s">
        <v>2764</v>
      </c>
      <c r="C56" t="s">
        <v>2708</v>
      </c>
    </row>
    <row r="57" spans="2:3" x14ac:dyDescent="0.2">
      <c r="B57" t="s">
        <v>2765</v>
      </c>
      <c r="C57" t="s">
        <v>2713</v>
      </c>
    </row>
    <row r="58" spans="2:3" x14ac:dyDescent="0.2">
      <c r="B58" t="s">
        <v>2766</v>
      </c>
      <c r="C58" t="s">
        <v>2708</v>
      </c>
    </row>
    <row r="59" spans="2:3" x14ac:dyDescent="0.2">
      <c r="B59" t="s">
        <v>2767</v>
      </c>
      <c r="C59" t="s">
        <v>2708</v>
      </c>
    </row>
    <row r="60" spans="2:3" x14ac:dyDescent="0.2">
      <c r="B60" t="s">
        <v>2768</v>
      </c>
      <c r="C60" t="s">
        <v>2708</v>
      </c>
    </row>
    <row r="61" spans="2:3" x14ac:dyDescent="0.2">
      <c r="B61" t="s">
        <v>2769</v>
      </c>
      <c r="C61" t="s">
        <v>2711</v>
      </c>
    </row>
    <row r="62" spans="2:3" x14ac:dyDescent="0.2">
      <c r="B62" t="s">
        <v>2770</v>
      </c>
      <c r="C62" t="s">
        <v>2704</v>
      </c>
    </row>
    <row r="63" spans="2:3" x14ac:dyDescent="0.2">
      <c r="B63" t="s">
        <v>2771</v>
      </c>
      <c r="C63" t="s">
        <v>2704</v>
      </c>
    </row>
    <row r="64" spans="2:3" x14ac:dyDescent="0.2">
      <c r="B64" t="s">
        <v>2772</v>
      </c>
      <c r="C64" t="s">
        <v>2713</v>
      </c>
    </row>
    <row r="65" spans="2:3" x14ac:dyDescent="0.2">
      <c r="B65" t="s">
        <v>2773</v>
      </c>
      <c r="C65" t="s">
        <v>2717</v>
      </c>
    </row>
    <row r="66" spans="2:3" x14ac:dyDescent="0.2">
      <c r="B66" t="s">
        <v>2774</v>
      </c>
      <c r="C66" t="s">
        <v>2706</v>
      </c>
    </row>
    <row r="67" spans="2:3" x14ac:dyDescent="0.2">
      <c r="B67" t="s">
        <v>2775</v>
      </c>
      <c r="C67" t="s">
        <v>2706</v>
      </c>
    </row>
    <row r="68" spans="2:3" x14ac:dyDescent="0.2">
      <c r="B68" t="s">
        <v>2776</v>
      </c>
      <c r="C68" t="s">
        <v>2713</v>
      </c>
    </row>
    <row r="69" spans="2:3" x14ac:dyDescent="0.2">
      <c r="B69" t="s">
        <v>2777</v>
      </c>
      <c r="C69" t="s">
        <v>2704</v>
      </c>
    </row>
    <row r="70" spans="2:3" x14ac:dyDescent="0.2">
      <c r="B70" t="s">
        <v>2778</v>
      </c>
      <c r="C70" t="s">
        <v>2711</v>
      </c>
    </row>
    <row r="71" spans="2:3" x14ac:dyDescent="0.2">
      <c r="B71" t="s">
        <v>2779</v>
      </c>
      <c r="C71" t="s">
        <v>2711</v>
      </c>
    </row>
    <row r="72" spans="2:3" x14ac:dyDescent="0.2">
      <c r="B72" t="s">
        <v>2780</v>
      </c>
      <c r="C72" t="s">
        <v>2711</v>
      </c>
    </row>
    <row r="73" spans="2:3" x14ac:dyDescent="0.2">
      <c r="B73" t="s">
        <v>2781</v>
      </c>
      <c r="C73" t="s">
        <v>2713</v>
      </c>
    </row>
    <row r="74" spans="2:3" x14ac:dyDescent="0.2">
      <c r="B74" t="s">
        <v>2782</v>
      </c>
      <c r="C74" t="s">
        <v>2706</v>
      </c>
    </row>
    <row r="75" spans="2:3" x14ac:dyDescent="0.2">
      <c r="B75" t="s">
        <v>2783</v>
      </c>
      <c r="C75" t="s">
        <v>2708</v>
      </c>
    </row>
    <row r="76" spans="2:3" x14ac:dyDescent="0.2">
      <c r="B76" t="s">
        <v>2784</v>
      </c>
      <c r="C76" t="s">
        <v>2706</v>
      </c>
    </row>
    <row r="77" spans="2:3" x14ac:dyDescent="0.2">
      <c r="B77" t="s">
        <v>2785</v>
      </c>
      <c r="C77" t="s">
        <v>2706</v>
      </c>
    </row>
    <row r="78" spans="2:3" x14ac:dyDescent="0.2">
      <c r="B78" t="s">
        <v>2786</v>
      </c>
      <c r="C78" t="s">
        <v>2708</v>
      </c>
    </row>
    <row r="79" spans="2:3" x14ac:dyDescent="0.2">
      <c r="B79" t="s">
        <v>2787</v>
      </c>
      <c r="C79" t="s">
        <v>2711</v>
      </c>
    </row>
    <row r="80" spans="2:3" x14ac:dyDescent="0.2">
      <c r="B80" t="s">
        <v>2788</v>
      </c>
      <c r="C80" t="s">
        <v>2706</v>
      </c>
    </row>
    <row r="81" spans="2:3" x14ac:dyDescent="0.2">
      <c r="B81" t="s">
        <v>2789</v>
      </c>
      <c r="C81" t="s">
        <v>2713</v>
      </c>
    </row>
    <row r="82" spans="2:3" x14ac:dyDescent="0.2">
      <c r="B82" t="s">
        <v>2790</v>
      </c>
      <c r="C82" t="s">
        <v>2708</v>
      </c>
    </row>
    <row r="83" spans="2:3" x14ac:dyDescent="0.2">
      <c r="B83" t="s">
        <v>2791</v>
      </c>
      <c r="C83" t="s">
        <v>2706</v>
      </c>
    </row>
    <row r="84" spans="2:3" x14ac:dyDescent="0.2">
      <c r="B84" t="s">
        <v>2792</v>
      </c>
      <c r="C84" t="s">
        <v>2704</v>
      </c>
    </row>
    <row r="85" spans="2:3" x14ac:dyDescent="0.2">
      <c r="B85" t="s">
        <v>2793</v>
      </c>
      <c r="C85" t="s">
        <v>2708</v>
      </c>
    </row>
    <row r="86" spans="2:3" x14ac:dyDescent="0.2">
      <c r="B86" t="s">
        <v>2794</v>
      </c>
      <c r="C86" t="s">
        <v>2711</v>
      </c>
    </row>
    <row r="87" spans="2:3" x14ac:dyDescent="0.2">
      <c r="B87" t="s">
        <v>2795</v>
      </c>
      <c r="C87" t="s">
        <v>2711</v>
      </c>
    </row>
    <row r="88" spans="2:3" x14ac:dyDescent="0.2">
      <c r="B88" t="s">
        <v>2796</v>
      </c>
      <c r="C88" t="s">
        <v>2713</v>
      </c>
    </row>
    <row r="89" spans="2:3" x14ac:dyDescent="0.2">
      <c r="B89" t="s">
        <v>2797</v>
      </c>
      <c r="C89" t="s">
        <v>2704</v>
      </c>
    </row>
    <row r="90" spans="2:3" x14ac:dyDescent="0.2">
      <c r="B90" t="s">
        <v>2798</v>
      </c>
      <c r="C90" t="s">
        <v>2704</v>
      </c>
    </row>
    <row r="91" spans="2:3" x14ac:dyDescent="0.2">
      <c r="B91" t="s">
        <v>2799</v>
      </c>
      <c r="C91" t="s">
        <v>2711</v>
      </c>
    </row>
    <row r="92" spans="2:3" x14ac:dyDescent="0.2">
      <c r="B92" t="s">
        <v>2800</v>
      </c>
      <c r="C92" t="s">
        <v>2706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B2" t="s">
        <v>2801</v>
      </c>
    </row>
    <row r="3" spans="1:2" x14ac:dyDescent="0.2">
      <c r="B3" t="s">
        <v>2802</v>
      </c>
    </row>
    <row r="4" spans="1:2" x14ac:dyDescent="0.2">
      <c r="B4" t="s">
        <v>2803</v>
      </c>
    </row>
    <row r="5" spans="1:2" x14ac:dyDescent="0.2">
      <c r="B5" t="s">
        <v>2804</v>
      </c>
    </row>
    <row r="6" spans="1:2" x14ac:dyDescent="0.2">
      <c r="B6" t="s">
        <v>2805</v>
      </c>
    </row>
    <row r="7" spans="1:2" x14ac:dyDescent="0.2">
      <c r="B7" t="s">
        <v>2806</v>
      </c>
    </row>
    <row r="8" spans="1:2" x14ac:dyDescent="0.2">
      <c r="B8" t="s">
        <v>2807</v>
      </c>
    </row>
    <row r="9" spans="1:2" x14ac:dyDescent="0.2">
      <c r="B9" t="s">
        <v>2808</v>
      </c>
    </row>
    <row r="10" spans="1:2" x14ac:dyDescent="0.2">
      <c r="B10" t="s">
        <v>2809</v>
      </c>
    </row>
    <row r="11" spans="1:2" x14ac:dyDescent="0.2">
      <c r="B11" t="s">
        <v>2810</v>
      </c>
    </row>
    <row r="12" spans="1:2" x14ac:dyDescent="0.2">
      <c r="B12" t="s">
        <v>2811</v>
      </c>
    </row>
    <row r="13" spans="1:2" x14ac:dyDescent="0.2">
      <c r="B13" t="s">
        <v>2812</v>
      </c>
    </row>
    <row r="14" spans="1:2" x14ac:dyDescent="0.2">
      <c r="B14" t="s">
        <v>2813</v>
      </c>
    </row>
    <row r="15" spans="1:2" x14ac:dyDescent="0.2">
      <c r="B15" t="s">
        <v>2814</v>
      </c>
    </row>
    <row r="16" spans="1:2" x14ac:dyDescent="0.2">
      <c r="B16" t="s">
        <v>2815</v>
      </c>
    </row>
    <row r="17" spans="2:2" x14ac:dyDescent="0.2">
      <c r="B17" t="s">
        <v>2816</v>
      </c>
    </row>
    <row r="18" spans="2:2" x14ac:dyDescent="0.2">
      <c r="B18" t="s">
        <v>2817</v>
      </c>
    </row>
    <row r="19" spans="2:2" x14ac:dyDescent="0.2">
      <c r="B19" t="s">
        <v>2818</v>
      </c>
    </row>
    <row r="20" spans="2:2" x14ac:dyDescent="0.2">
      <c r="B20" t="s">
        <v>2819</v>
      </c>
    </row>
    <row r="21" spans="2:2" x14ac:dyDescent="0.2">
      <c r="B21" t="s">
        <v>2820</v>
      </c>
    </row>
    <row r="22" spans="2:2" x14ac:dyDescent="0.2">
      <c r="B22" t="s">
        <v>2821</v>
      </c>
    </row>
    <row r="23" spans="2:2" x14ac:dyDescent="0.2">
      <c r="B23" t="s">
        <v>2822</v>
      </c>
    </row>
    <row r="24" spans="2:2" x14ac:dyDescent="0.2">
      <c r="B24" t="s">
        <v>2823</v>
      </c>
    </row>
    <row r="25" spans="2:2" x14ac:dyDescent="0.2">
      <c r="B25" t="s">
        <v>2824</v>
      </c>
    </row>
    <row r="26" spans="2:2" x14ac:dyDescent="0.2">
      <c r="B26" t="s">
        <v>2825</v>
      </c>
    </row>
    <row r="27" spans="2:2" x14ac:dyDescent="0.2">
      <c r="B27" t="s">
        <v>2826</v>
      </c>
    </row>
    <row r="28" spans="2:2" x14ac:dyDescent="0.2">
      <c r="B28" t="s">
        <v>2827</v>
      </c>
    </row>
    <row r="29" spans="2:2" x14ac:dyDescent="0.2">
      <c r="B29" t="s">
        <v>2828</v>
      </c>
    </row>
    <row r="30" spans="2:2" x14ac:dyDescent="0.2">
      <c r="B30" t="s">
        <v>2829</v>
      </c>
    </row>
    <row r="31" spans="2:2" x14ac:dyDescent="0.2">
      <c r="B31" t="s">
        <v>2830</v>
      </c>
    </row>
    <row r="32" spans="2:2" x14ac:dyDescent="0.2">
      <c r="B32" t="s">
        <v>2831</v>
      </c>
    </row>
    <row r="33" spans="2:2" x14ac:dyDescent="0.2">
      <c r="B33" t="s">
        <v>2832</v>
      </c>
    </row>
    <row r="34" spans="2:2" x14ac:dyDescent="0.2">
      <c r="B34" t="s">
        <v>2833</v>
      </c>
    </row>
    <row r="35" spans="2:2" x14ac:dyDescent="0.2">
      <c r="B35" t="s">
        <v>2834</v>
      </c>
    </row>
    <row r="36" spans="2:2" x14ac:dyDescent="0.2">
      <c r="B36" t="s">
        <v>2835</v>
      </c>
    </row>
    <row r="37" spans="2:2" x14ac:dyDescent="0.2">
      <c r="B37" t="s">
        <v>2836</v>
      </c>
    </row>
    <row r="38" spans="2:2" x14ac:dyDescent="0.2">
      <c r="B38" t="s">
        <v>2837</v>
      </c>
    </row>
    <row r="39" spans="2:2" x14ac:dyDescent="0.2">
      <c r="B39" t="s">
        <v>2838</v>
      </c>
    </row>
    <row r="40" spans="2:2" x14ac:dyDescent="0.2">
      <c r="B40" t="s">
        <v>2839</v>
      </c>
    </row>
    <row r="41" spans="2:2" x14ac:dyDescent="0.2">
      <c r="B41" t="s">
        <v>2840</v>
      </c>
    </row>
    <row r="42" spans="2:2" x14ac:dyDescent="0.2">
      <c r="B42" t="s">
        <v>2841</v>
      </c>
    </row>
    <row r="43" spans="2:2" x14ac:dyDescent="0.2">
      <c r="B43" t="s">
        <v>2842</v>
      </c>
    </row>
    <row r="44" spans="2:2" x14ac:dyDescent="0.2">
      <c r="B44" t="s">
        <v>2843</v>
      </c>
    </row>
    <row r="45" spans="2:2" x14ac:dyDescent="0.2">
      <c r="B45" t="s">
        <v>2844</v>
      </c>
    </row>
    <row r="46" spans="2:2" x14ac:dyDescent="0.2">
      <c r="B46" t="s">
        <v>2845</v>
      </c>
    </row>
    <row r="47" spans="2:2" x14ac:dyDescent="0.2">
      <c r="B47" t="s">
        <v>2846</v>
      </c>
    </row>
    <row r="48" spans="2:2" x14ac:dyDescent="0.2">
      <c r="B48" t="s">
        <v>2847</v>
      </c>
    </row>
    <row r="49" spans="2:2" x14ac:dyDescent="0.2">
      <c r="B49" t="s">
        <v>2848</v>
      </c>
    </row>
    <row r="50" spans="2:2" x14ac:dyDescent="0.2">
      <c r="B50" t="s">
        <v>2849</v>
      </c>
    </row>
    <row r="51" spans="2:2" x14ac:dyDescent="0.2">
      <c r="B51" t="s">
        <v>2850</v>
      </c>
    </row>
    <row r="52" spans="2:2" x14ac:dyDescent="0.2">
      <c r="B52" t="s">
        <v>2851</v>
      </c>
    </row>
    <row r="53" spans="2:2" x14ac:dyDescent="0.2">
      <c r="B53" t="s">
        <v>2852</v>
      </c>
    </row>
    <row r="54" spans="2:2" x14ac:dyDescent="0.2">
      <c r="B54" t="s">
        <v>2853</v>
      </c>
    </row>
    <row r="55" spans="2:2" x14ac:dyDescent="0.2">
      <c r="B55" t="s">
        <v>2854</v>
      </c>
    </row>
    <row r="56" spans="2:2" x14ac:dyDescent="0.2">
      <c r="B56" t="s">
        <v>2855</v>
      </c>
    </row>
    <row r="57" spans="2:2" x14ac:dyDescent="0.2">
      <c r="B57" t="s">
        <v>2856</v>
      </c>
    </row>
    <row r="58" spans="2:2" x14ac:dyDescent="0.2">
      <c r="B58" t="s">
        <v>2857</v>
      </c>
    </row>
    <row r="59" spans="2:2" x14ac:dyDescent="0.2">
      <c r="B59" t="s">
        <v>2858</v>
      </c>
    </row>
    <row r="60" spans="2:2" x14ac:dyDescent="0.2">
      <c r="B60" t="s">
        <v>2859</v>
      </c>
    </row>
    <row r="61" spans="2:2" x14ac:dyDescent="0.2">
      <c r="B61" t="s">
        <v>2860</v>
      </c>
    </row>
    <row r="62" spans="2:2" x14ac:dyDescent="0.2">
      <c r="B62" t="s">
        <v>2861</v>
      </c>
    </row>
    <row r="63" spans="2:2" x14ac:dyDescent="0.2">
      <c r="B63" t="s">
        <v>2862</v>
      </c>
    </row>
    <row r="64" spans="2:2" x14ac:dyDescent="0.2">
      <c r="B64" t="s">
        <v>2863</v>
      </c>
    </row>
    <row r="65" spans="2:2" x14ac:dyDescent="0.2">
      <c r="B65" t="s">
        <v>2864</v>
      </c>
    </row>
    <row r="66" spans="2:2" x14ac:dyDescent="0.2">
      <c r="B66" t="s">
        <v>2865</v>
      </c>
    </row>
    <row r="67" spans="2:2" x14ac:dyDescent="0.2">
      <c r="B67" t="s">
        <v>2866</v>
      </c>
    </row>
    <row r="68" spans="2:2" x14ac:dyDescent="0.2">
      <c r="B68" t="s">
        <v>2867</v>
      </c>
    </row>
    <row r="69" spans="2:2" x14ac:dyDescent="0.2">
      <c r="B69" t="s">
        <v>2868</v>
      </c>
    </row>
    <row r="70" spans="2:2" x14ac:dyDescent="0.2">
      <c r="B70" t="s">
        <v>2869</v>
      </c>
    </row>
    <row r="71" spans="2:2" x14ac:dyDescent="0.2">
      <c r="B71" t="s">
        <v>2870</v>
      </c>
    </row>
    <row r="72" spans="2:2" x14ac:dyDescent="0.2">
      <c r="B72" t="s">
        <v>2871</v>
      </c>
    </row>
    <row r="73" spans="2:2" x14ac:dyDescent="0.2">
      <c r="B73" t="s">
        <v>2872</v>
      </c>
    </row>
    <row r="74" spans="2:2" x14ac:dyDescent="0.2">
      <c r="B74" t="s">
        <v>2873</v>
      </c>
    </row>
    <row r="75" spans="2:2" x14ac:dyDescent="0.2">
      <c r="B75" t="s">
        <v>2874</v>
      </c>
    </row>
    <row r="76" spans="2:2" x14ac:dyDescent="0.2">
      <c r="B76" t="s">
        <v>2875</v>
      </c>
    </row>
    <row r="77" spans="2:2" x14ac:dyDescent="0.2">
      <c r="B77" t="s">
        <v>2876</v>
      </c>
    </row>
    <row r="78" spans="2:2" x14ac:dyDescent="0.2">
      <c r="B78" t="s">
        <v>2877</v>
      </c>
    </row>
    <row r="79" spans="2:2" x14ac:dyDescent="0.2">
      <c r="B79" t="s">
        <v>2878</v>
      </c>
    </row>
    <row r="80" spans="2:2" x14ac:dyDescent="0.2">
      <c r="B80" t="s">
        <v>2879</v>
      </c>
    </row>
    <row r="81" spans="2:2" x14ac:dyDescent="0.2">
      <c r="B81" t="s">
        <v>2880</v>
      </c>
    </row>
    <row r="82" spans="2:2" x14ac:dyDescent="0.2">
      <c r="B82" t="s">
        <v>2881</v>
      </c>
    </row>
    <row r="83" spans="2:2" x14ac:dyDescent="0.2">
      <c r="B83" t="s">
        <v>2882</v>
      </c>
    </row>
    <row r="84" spans="2:2" x14ac:dyDescent="0.2">
      <c r="B84" t="s">
        <v>2883</v>
      </c>
    </row>
    <row r="85" spans="2:2" x14ac:dyDescent="0.2">
      <c r="B85" t="s">
        <v>2884</v>
      </c>
    </row>
    <row r="86" spans="2:2" x14ac:dyDescent="0.2">
      <c r="B86" t="s">
        <v>2885</v>
      </c>
    </row>
    <row r="87" spans="2:2" x14ac:dyDescent="0.2">
      <c r="B87" t="s">
        <v>2886</v>
      </c>
    </row>
    <row r="88" spans="2:2" x14ac:dyDescent="0.2">
      <c r="B88" t="s">
        <v>2887</v>
      </c>
    </row>
    <row r="89" spans="2:2" x14ac:dyDescent="0.2">
      <c r="B89" t="s">
        <v>2888</v>
      </c>
    </row>
    <row r="90" spans="2:2" x14ac:dyDescent="0.2">
      <c r="B90" t="s">
        <v>2889</v>
      </c>
    </row>
    <row r="91" spans="2:2" x14ac:dyDescent="0.2">
      <c r="B91" t="s">
        <v>2890</v>
      </c>
    </row>
    <row r="92" spans="2:2" x14ac:dyDescent="0.2">
      <c r="B92" t="s">
        <v>2891</v>
      </c>
    </row>
    <row r="93" spans="2:2" x14ac:dyDescent="0.2">
      <c r="B93" t="s">
        <v>2892</v>
      </c>
    </row>
    <row r="94" spans="2:2" x14ac:dyDescent="0.2">
      <c r="B94" t="s">
        <v>2893</v>
      </c>
    </row>
    <row r="95" spans="2:2" x14ac:dyDescent="0.2">
      <c r="B95" t="s">
        <v>2894</v>
      </c>
    </row>
    <row r="96" spans="2:2" x14ac:dyDescent="0.2">
      <c r="B96" t="s">
        <v>2895</v>
      </c>
    </row>
    <row r="97" spans="2:2" x14ac:dyDescent="0.2">
      <c r="B97" t="s">
        <v>2896</v>
      </c>
    </row>
    <row r="98" spans="2:2" x14ac:dyDescent="0.2">
      <c r="B98" t="s">
        <v>2897</v>
      </c>
    </row>
    <row r="99" spans="2:2" x14ac:dyDescent="0.2">
      <c r="B99" t="s">
        <v>2898</v>
      </c>
    </row>
    <row r="100" spans="2:2" x14ac:dyDescent="0.2">
      <c r="B100" t="s">
        <v>2899</v>
      </c>
    </row>
    <row r="101" spans="2:2" x14ac:dyDescent="0.2">
      <c r="B101" t="s">
        <v>2900</v>
      </c>
    </row>
    <row r="102" spans="2:2" x14ac:dyDescent="0.2">
      <c r="B102" t="s">
        <v>2901</v>
      </c>
    </row>
    <row r="103" spans="2:2" x14ac:dyDescent="0.2">
      <c r="B103" t="s">
        <v>2902</v>
      </c>
    </row>
    <row r="104" spans="2:2" x14ac:dyDescent="0.2">
      <c r="B104" t="s">
        <v>2903</v>
      </c>
    </row>
    <row r="105" spans="2:2" x14ac:dyDescent="0.2">
      <c r="B105" t="s">
        <v>2904</v>
      </c>
    </row>
    <row r="106" spans="2:2" x14ac:dyDescent="0.2">
      <c r="B106" t="s">
        <v>2905</v>
      </c>
    </row>
    <row r="107" spans="2:2" x14ac:dyDescent="0.2">
      <c r="B107" t="s">
        <v>2906</v>
      </c>
    </row>
    <row r="108" spans="2:2" x14ac:dyDescent="0.2">
      <c r="B108" t="s">
        <v>2907</v>
      </c>
    </row>
    <row r="109" spans="2:2" x14ac:dyDescent="0.2">
      <c r="B109" t="s">
        <v>2908</v>
      </c>
    </row>
    <row r="110" spans="2:2" x14ac:dyDescent="0.2">
      <c r="B110" t="s">
        <v>2909</v>
      </c>
    </row>
    <row r="111" spans="2:2" x14ac:dyDescent="0.2">
      <c r="B111" t="s">
        <v>2910</v>
      </c>
    </row>
    <row r="112" spans="2:2" x14ac:dyDescent="0.2">
      <c r="B112" t="s">
        <v>2911</v>
      </c>
    </row>
    <row r="113" spans="2:2" x14ac:dyDescent="0.2">
      <c r="B113" t="s">
        <v>2912</v>
      </c>
    </row>
    <row r="114" spans="2:2" x14ac:dyDescent="0.2">
      <c r="B114" t="s">
        <v>2913</v>
      </c>
    </row>
    <row r="115" spans="2:2" x14ac:dyDescent="0.2">
      <c r="B115" t="s">
        <v>2914</v>
      </c>
    </row>
    <row r="116" spans="2:2" x14ac:dyDescent="0.2">
      <c r="B116" t="s">
        <v>2915</v>
      </c>
    </row>
    <row r="117" spans="2:2" x14ac:dyDescent="0.2">
      <c r="B117" t="s">
        <v>2916</v>
      </c>
    </row>
    <row r="118" spans="2:2" x14ac:dyDescent="0.2">
      <c r="B118" t="s">
        <v>2917</v>
      </c>
    </row>
    <row r="119" spans="2:2" x14ac:dyDescent="0.2">
      <c r="B119" t="s">
        <v>2918</v>
      </c>
    </row>
    <row r="120" spans="2:2" x14ac:dyDescent="0.2">
      <c r="B120" t="s">
        <v>2919</v>
      </c>
    </row>
    <row r="121" spans="2:2" x14ac:dyDescent="0.2">
      <c r="B121" t="s">
        <v>2920</v>
      </c>
    </row>
    <row r="122" spans="2:2" x14ac:dyDescent="0.2">
      <c r="B122" t="s">
        <v>2921</v>
      </c>
    </row>
    <row r="123" spans="2:2" x14ac:dyDescent="0.2">
      <c r="B123" t="s">
        <v>2922</v>
      </c>
    </row>
    <row r="124" spans="2:2" x14ac:dyDescent="0.2">
      <c r="B124" t="s">
        <v>2923</v>
      </c>
    </row>
    <row r="125" spans="2:2" x14ac:dyDescent="0.2">
      <c r="B125" t="s">
        <v>2924</v>
      </c>
    </row>
    <row r="126" spans="2:2" x14ac:dyDescent="0.2">
      <c r="B126" t="s">
        <v>2925</v>
      </c>
    </row>
    <row r="127" spans="2:2" x14ac:dyDescent="0.2">
      <c r="B127" t="s">
        <v>2926</v>
      </c>
    </row>
    <row r="128" spans="2:2" x14ac:dyDescent="0.2">
      <c r="B128" t="s">
        <v>2927</v>
      </c>
    </row>
    <row r="129" spans="2:2" x14ac:dyDescent="0.2">
      <c r="B129" t="s">
        <v>2928</v>
      </c>
    </row>
    <row r="130" spans="2:2" x14ac:dyDescent="0.2">
      <c r="B130" t="s">
        <v>2929</v>
      </c>
    </row>
    <row r="131" spans="2:2" x14ac:dyDescent="0.2">
      <c r="B131" t="s">
        <v>2930</v>
      </c>
    </row>
    <row r="132" spans="2:2" x14ac:dyDescent="0.2">
      <c r="B132" t="s">
        <v>2931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8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2932</v>
      </c>
      <c r="B1" s="1" t="s">
        <v>2933</v>
      </c>
    </row>
    <row r="2" spans="1:2" x14ac:dyDescent="0.2">
      <c r="B2" t="s">
        <v>2934</v>
      </c>
    </row>
    <row r="3" spans="1:2" x14ac:dyDescent="0.2">
      <c r="B3" t="s">
        <v>2935</v>
      </c>
    </row>
    <row r="4" spans="1:2" x14ac:dyDescent="0.2">
      <c r="B4" t="s">
        <v>2936</v>
      </c>
    </row>
    <row r="5" spans="1:2" x14ac:dyDescent="0.2">
      <c r="B5" t="s">
        <v>2937</v>
      </c>
    </row>
    <row r="6" spans="1:2" x14ac:dyDescent="0.2">
      <c r="B6" t="s">
        <v>2938</v>
      </c>
    </row>
    <row r="7" spans="1:2" x14ac:dyDescent="0.2">
      <c r="B7" t="s">
        <v>2939</v>
      </c>
    </row>
    <row r="8" spans="1:2" x14ac:dyDescent="0.2">
      <c r="B8" t="s">
        <v>2940</v>
      </c>
    </row>
    <row r="9" spans="1:2" x14ac:dyDescent="0.2">
      <c r="B9" t="s">
        <v>2941</v>
      </c>
    </row>
    <row r="10" spans="1:2" x14ac:dyDescent="0.2">
      <c r="B10" t="s">
        <v>2942</v>
      </c>
    </row>
    <row r="11" spans="1:2" x14ac:dyDescent="0.2">
      <c r="B11" t="s">
        <v>2943</v>
      </c>
    </row>
    <row r="12" spans="1:2" x14ac:dyDescent="0.2">
      <c r="B12" t="s">
        <v>2944</v>
      </c>
    </row>
    <row r="13" spans="1:2" x14ac:dyDescent="0.2">
      <c r="B13" t="s">
        <v>2945</v>
      </c>
    </row>
    <row r="14" spans="1:2" x14ac:dyDescent="0.2">
      <c r="B14" t="s">
        <v>2946</v>
      </c>
    </row>
    <row r="15" spans="1:2" x14ac:dyDescent="0.2">
      <c r="B15" t="s">
        <v>2947</v>
      </c>
    </row>
    <row r="16" spans="1:2" x14ac:dyDescent="0.2">
      <c r="B16" t="s">
        <v>2948</v>
      </c>
    </row>
    <row r="17" spans="2:2" x14ac:dyDescent="0.2">
      <c r="B17" t="s">
        <v>2949</v>
      </c>
    </row>
    <row r="18" spans="2:2" x14ac:dyDescent="0.2">
      <c r="B18" t="s">
        <v>2950</v>
      </c>
    </row>
    <row r="19" spans="2:2" x14ac:dyDescent="0.2">
      <c r="B19" t="s">
        <v>2951</v>
      </c>
    </row>
    <row r="20" spans="2:2" x14ac:dyDescent="0.2">
      <c r="B20" t="s">
        <v>2952</v>
      </c>
    </row>
    <row r="21" spans="2:2" x14ac:dyDescent="0.2">
      <c r="B21" t="s">
        <v>2953</v>
      </c>
    </row>
    <row r="22" spans="2:2" x14ac:dyDescent="0.2">
      <c r="B22" t="s">
        <v>2954</v>
      </c>
    </row>
    <row r="23" spans="2:2" x14ac:dyDescent="0.2">
      <c r="B23" t="s">
        <v>2955</v>
      </c>
    </row>
    <row r="24" spans="2:2" x14ac:dyDescent="0.2">
      <c r="B24" t="s">
        <v>2956</v>
      </c>
    </row>
    <row r="25" spans="2:2" x14ac:dyDescent="0.2">
      <c r="B25" t="s">
        <v>2957</v>
      </c>
    </row>
    <row r="26" spans="2:2" x14ac:dyDescent="0.2">
      <c r="B26" t="s">
        <v>2958</v>
      </c>
    </row>
    <row r="27" spans="2:2" x14ac:dyDescent="0.2">
      <c r="B27" t="s">
        <v>2959</v>
      </c>
    </row>
    <row r="28" spans="2:2" x14ac:dyDescent="0.2">
      <c r="B28" t="s">
        <v>2960</v>
      </c>
    </row>
    <row r="29" spans="2:2" x14ac:dyDescent="0.2">
      <c r="B29" t="s">
        <v>2961</v>
      </c>
    </row>
    <row r="30" spans="2:2" x14ac:dyDescent="0.2">
      <c r="B30" t="s">
        <v>2962</v>
      </c>
    </row>
    <row r="31" spans="2:2" x14ac:dyDescent="0.2">
      <c r="B31" t="s">
        <v>2963</v>
      </c>
    </row>
    <row r="32" spans="2:2" x14ac:dyDescent="0.2">
      <c r="B32" t="s">
        <v>2964</v>
      </c>
    </row>
    <row r="33" spans="2:2" x14ac:dyDescent="0.2">
      <c r="B33" t="s">
        <v>2965</v>
      </c>
    </row>
    <row r="34" spans="2:2" x14ac:dyDescent="0.2">
      <c r="B34" t="s">
        <v>2966</v>
      </c>
    </row>
    <row r="35" spans="2:2" x14ac:dyDescent="0.2">
      <c r="B35" t="s">
        <v>2967</v>
      </c>
    </row>
    <row r="36" spans="2:2" x14ac:dyDescent="0.2">
      <c r="B36" t="s">
        <v>2968</v>
      </c>
    </row>
    <row r="37" spans="2:2" x14ac:dyDescent="0.2">
      <c r="B37" t="s">
        <v>2969</v>
      </c>
    </row>
    <row r="38" spans="2:2" x14ac:dyDescent="0.2">
      <c r="B38" t="s">
        <v>2970</v>
      </c>
    </row>
    <row r="39" spans="2:2" x14ac:dyDescent="0.2">
      <c r="B39" t="s">
        <v>2971</v>
      </c>
    </row>
    <row r="40" spans="2:2" x14ac:dyDescent="0.2">
      <c r="B40" t="s">
        <v>2972</v>
      </c>
    </row>
    <row r="41" spans="2:2" x14ac:dyDescent="0.2">
      <c r="B41" t="s">
        <v>2973</v>
      </c>
    </row>
    <row r="42" spans="2:2" x14ac:dyDescent="0.2">
      <c r="B42" t="s">
        <v>2974</v>
      </c>
    </row>
    <row r="43" spans="2:2" x14ac:dyDescent="0.2">
      <c r="B43" t="s">
        <v>2975</v>
      </c>
    </row>
    <row r="44" spans="2:2" x14ac:dyDescent="0.2">
      <c r="B44" t="s">
        <v>2976</v>
      </c>
    </row>
    <row r="45" spans="2:2" x14ac:dyDescent="0.2">
      <c r="B45" t="s">
        <v>2977</v>
      </c>
    </row>
    <row r="46" spans="2:2" x14ac:dyDescent="0.2">
      <c r="B46" t="s">
        <v>2978</v>
      </c>
    </row>
    <row r="47" spans="2:2" x14ac:dyDescent="0.2">
      <c r="B47" t="s">
        <v>2979</v>
      </c>
    </row>
    <row r="48" spans="2:2" x14ac:dyDescent="0.2">
      <c r="B48" t="s">
        <v>2980</v>
      </c>
    </row>
    <row r="49" spans="2:2" x14ac:dyDescent="0.2">
      <c r="B49" t="s">
        <v>2981</v>
      </c>
    </row>
    <row r="50" spans="2:2" x14ac:dyDescent="0.2">
      <c r="B50" t="s">
        <v>2982</v>
      </c>
    </row>
    <row r="51" spans="2:2" x14ac:dyDescent="0.2">
      <c r="B51" t="s">
        <v>2983</v>
      </c>
    </row>
    <row r="52" spans="2:2" x14ac:dyDescent="0.2">
      <c r="B52" t="s">
        <v>2984</v>
      </c>
    </row>
    <row r="53" spans="2:2" x14ac:dyDescent="0.2">
      <c r="B53" t="s">
        <v>2985</v>
      </c>
    </row>
    <row r="54" spans="2:2" x14ac:dyDescent="0.2">
      <c r="B54" t="s">
        <v>2986</v>
      </c>
    </row>
    <row r="55" spans="2:2" x14ac:dyDescent="0.2">
      <c r="B55" t="s">
        <v>2987</v>
      </c>
    </row>
    <row r="56" spans="2:2" x14ac:dyDescent="0.2">
      <c r="B56" t="s">
        <v>2988</v>
      </c>
    </row>
    <row r="57" spans="2:2" x14ac:dyDescent="0.2">
      <c r="B57" t="s">
        <v>2989</v>
      </c>
    </row>
    <row r="58" spans="2:2" x14ac:dyDescent="0.2">
      <c r="B58" t="s">
        <v>2990</v>
      </c>
    </row>
    <row r="59" spans="2:2" x14ac:dyDescent="0.2">
      <c r="B59" t="s">
        <v>2991</v>
      </c>
    </row>
    <row r="60" spans="2:2" x14ac:dyDescent="0.2">
      <c r="B60" t="s">
        <v>2992</v>
      </c>
    </row>
    <row r="61" spans="2:2" x14ac:dyDescent="0.2">
      <c r="B61" t="s">
        <v>2993</v>
      </c>
    </row>
    <row r="62" spans="2:2" x14ac:dyDescent="0.2">
      <c r="B62" t="s">
        <v>2994</v>
      </c>
    </row>
    <row r="63" spans="2:2" x14ac:dyDescent="0.2">
      <c r="B63" t="s">
        <v>2995</v>
      </c>
    </row>
    <row r="64" spans="2:2" x14ac:dyDescent="0.2">
      <c r="B64" t="s">
        <v>2996</v>
      </c>
    </row>
    <row r="65" spans="2:2" x14ac:dyDescent="0.2">
      <c r="B65" t="s">
        <v>2997</v>
      </c>
    </row>
    <row r="66" spans="2:2" x14ac:dyDescent="0.2">
      <c r="B66" t="s">
        <v>2998</v>
      </c>
    </row>
    <row r="67" spans="2:2" x14ac:dyDescent="0.2">
      <c r="B67" t="s">
        <v>2999</v>
      </c>
    </row>
    <row r="68" spans="2:2" x14ac:dyDescent="0.2">
      <c r="B68" t="s">
        <v>3000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árok3"/>
  <dimension ref="A1:P73"/>
  <sheetViews>
    <sheetView workbookViewId="0"/>
  </sheetViews>
  <sheetFormatPr baseColWidth="10" defaultColWidth="8.83203125" defaultRowHeight="15" x14ac:dyDescent="0.2"/>
  <cols>
    <col min="1" max="1" width="11.6640625" customWidth="1"/>
    <col min="2" max="3" width="22.6640625" customWidth="1"/>
    <col min="4" max="4" width="11.6640625" customWidth="1"/>
    <col min="5" max="16" width="6.33203125" customWidth="1"/>
  </cols>
  <sheetData>
    <row r="1" spans="1:16" x14ac:dyDescent="0.2">
      <c r="A1" s="1" t="s">
        <v>2932</v>
      </c>
      <c r="B1" s="1" t="s">
        <v>55</v>
      </c>
      <c r="C1" s="1" t="s">
        <v>3001</v>
      </c>
      <c r="D1" s="1" t="s">
        <v>53</v>
      </c>
      <c r="E1" s="1" t="s">
        <v>3002</v>
      </c>
      <c r="F1" s="1" t="s">
        <v>3003</v>
      </c>
      <c r="G1" s="1" t="s">
        <v>3004</v>
      </c>
      <c r="H1" s="1" t="s">
        <v>3005</v>
      </c>
      <c r="I1" s="1" t="s">
        <v>43</v>
      </c>
      <c r="J1" s="1" t="s">
        <v>3006</v>
      </c>
      <c r="K1" s="1" t="s">
        <v>3007</v>
      </c>
      <c r="L1" s="1" t="s">
        <v>3008</v>
      </c>
      <c r="M1" s="1" t="s">
        <v>3009</v>
      </c>
      <c r="N1" s="1" t="s">
        <v>3010</v>
      </c>
      <c r="O1" s="1" t="s">
        <v>3011</v>
      </c>
      <c r="P1" s="1" t="s">
        <v>3012</v>
      </c>
    </row>
    <row r="2" spans="1:16" x14ac:dyDescent="0.2">
      <c r="B2" t="s">
        <v>3013</v>
      </c>
      <c r="C2" t="s">
        <v>3014</v>
      </c>
      <c r="D2" t="s">
        <v>3015</v>
      </c>
      <c r="J2" t="s">
        <v>3016</v>
      </c>
      <c r="K2" t="s">
        <v>3016</v>
      </c>
      <c r="L2" t="s">
        <v>3016</v>
      </c>
      <c r="M2" t="s">
        <v>3016</v>
      </c>
    </row>
    <row r="3" spans="1:16" x14ac:dyDescent="0.2">
      <c r="B3" t="s">
        <v>3017</v>
      </c>
      <c r="C3" t="s">
        <v>3018</v>
      </c>
      <c r="D3" t="s">
        <v>3019</v>
      </c>
      <c r="E3" t="s">
        <v>3016</v>
      </c>
      <c r="F3" t="s">
        <v>3016</v>
      </c>
      <c r="G3" t="s">
        <v>3016</v>
      </c>
      <c r="H3" t="s">
        <v>3016</v>
      </c>
      <c r="I3" t="s">
        <v>3016</v>
      </c>
      <c r="J3" t="s">
        <v>3016</v>
      </c>
      <c r="K3" t="s">
        <v>3016</v>
      </c>
      <c r="L3" t="s">
        <v>3016</v>
      </c>
      <c r="M3" t="s">
        <v>3016</v>
      </c>
      <c r="N3" t="s">
        <v>3016</v>
      </c>
      <c r="O3" t="s">
        <v>3016</v>
      </c>
      <c r="P3" t="s">
        <v>3016</v>
      </c>
    </row>
    <row r="4" spans="1:16" x14ac:dyDescent="0.2">
      <c r="B4" t="s">
        <v>3020</v>
      </c>
      <c r="C4" t="s">
        <v>3021</v>
      </c>
      <c r="D4" t="s">
        <v>3019</v>
      </c>
      <c r="E4" t="s">
        <v>3016</v>
      </c>
      <c r="F4" t="s">
        <v>3016</v>
      </c>
      <c r="N4" t="s">
        <v>3016</v>
      </c>
      <c r="O4" t="s">
        <v>3016</v>
      </c>
      <c r="P4" t="s">
        <v>3016</v>
      </c>
    </row>
    <row r="5" spans="1:16" x14ac:dyDescent="0.2">
      <c r="B5" t="s">
        <v>3022</v>
      </c>
      <c r="C5" t="s">
        <v>3023</v>
      </c>
      <c r="D5" t="s">
        <v>3015</v>
      </c>
      <c r="K5" t="s">
        <v>3016</v>
      </c>
      <c r="L5" t="s">
        <v>3016</v>
      </c>
    </row>
    <row r="6" spans="1:16" x14ac:dyDescent="0.2">
      <c r="B6" t="s">
        <v>3024</v>
      </c>
      <c r="C6" t="s">
        <v>3021</v>
      </c>
      <c r="D6" t="s">
        <v>3019</v>
      </c>
      <c r="E6" t="s">
        <v>3016</v>
      </c>
      <c r="F6" t="s">
        <v>3016</v>
      </c>
      <c r="G6" t="s">
        <v>3016</v>
      </c>
      <c r="H6" t="s">
        <v>3016</v>
      </c>
      <c r="I6" t="s">
        <v>3016</v>
      </c>
      <c r="J6" t="s">
        <v>3016</v>
      </c>
      <c r="K6" t="s">
        <v>3016</v>
      </c>
      <c r="L6" t="s">
        <v>3016</v>
      </c>
      <c r="M6" t="s">
        <v>3016</v>
      </c>
      <c r="N6" t="s">
        <v>3016</v>
      </c>
      <c r="O6" t="s">
        <v>3016</v>
      </c>
      <c r="P6" t="s">
        <v>3016</v>
      </c>
    </row>
    <row r="7" spans="1:16" x14ac:dyDescent="0.2">
      <c r="B7" t="s">
        <v>3025</v>
      </c>
      <c r="C7" t="s">
        <v>3026</v>
      </c>
      <c r="D7" t="s">
        <v>3027</v>
      </c>
      <c r="M7" t="s">
        <v>3016</v>
      </c>
      <c r="N7" t="s">
        <v>3016</v>
      </c>
    </row>
    <row r="8" spans="1:16" x14ac:dyDescent="0.2">
      <c r="B8" t="s">
        <v>3028</v>
      </c>
      <c r="C8" t="s">
        <v>3023</v>
      </c>
      <c r="D8" t="s">
        <v>3029</v>
      </c>
      <c r="J8" t="s">
        <v>3016</v>
      </c>
      <c r="K8" t="s">
        <v>3016</v>
      </c>
      <c r="L8" t="s">
        <v>3016</v>
      </c>
      <c r="M8" t="s">
        <v>3016</v>
      </c>
    </row>
    <row r="9" spans="1:16" x14ac:dyDescent="0.2">
      <c r="B9" t="s">
        <v>3030</v>
      </c>
      <c r="C9" t="s">
        <v>3031</v>
      </c>
      <c r="D9" t="s">
        <v>3015</v>
      </c>
      <c r="K9" t="s">
        <v>3016</v>
      </c>
      <c r="L9" t="s">
        <v>3016</v>
      </c>
    </row>
    <row r="10" spans="1:16" x14ac:dyDescent="0.2">
      <c r="B10" t="s">
        <v>3032</v>
      </c>
      <c r="C10" t="s">
        <v>3033</v>
      </c>
      <c r="D10" t="s">
        <v>3034</v>
      </c>
      <c r="E10" t="s">
        <v>3016</v>
      </c>
      <c r="F10" t="s">
        <v>3016</v>
      </c>
      <c r="J10" t="s">
        <v>3016</v>
      </c>
      <c r="K10" t="s">
        <v>3016</v>
      </c>
      <c r="L10" t="s">
        <v>3016</v>
      </c>
      <c r="M10" t="s">
        <v>3016</v>
      </c>
      <c r="N10" t="s">
        <v>3016</v>
      </c>
      <c r="O10" t="s">
        <v>3016</v>
      </c>
      <c r="P10" t="s">
        <v>3016</v>
      </c>
    </row>
    <row r="11" spans="1:16" x14ac:dyDescent="0.2">
      <c r="B11" t="s">
        <v>3035</v>
      </c>
      <c r="C11" t="s">
        <v>3031</v>
      </c>
      <c r="D11" t="s">
        <v>3019</v>
      </c>
      <c r="K11" t="s">
        <v>3016</v>
      </c>
      <c r="L11" t="s">
        <v>3016</v>
      </c>
    </row>
    <row r="12" spans="1:16" x14ac:dyDescent="0.2">
      <c r="B12" t="s">
        <v>3036</v>
      </c>
      <c r="C12" t="s">
        <v>3014</v>
      </c>
      <c r="D12" t="s">
        <v>3037</v>
      </c>
      <c r="G12" t="s">
        <v>3016</v>
      </c>
      <c r="H12" t="s">
        <v>3016</v>
      </c>
      <c r="I12" t="s">
        <v>3016</v>
      </c>
      <c r="J12" t="s">
        <v>3016</v>
      </c>
      <c r="M12" t="s">
        <v>3016</v>
      </c>
    </row>
    <row r="13" spans="1:16" x14ac:dyDescent="0.2">
      <c r="B13" t="s">
        <v>3038</v>
      </c>
      <c r="C13" t="s">
        <v>3026</v>
      </c>
      <c r="D13" t="s">
        <v>3027</v>
      </c>
      <c r="M13" t="s">
        <v>3016</v>
      </c>
      <c r="N13" t="s">
        <v>3016</v>
      </c>
      <c r="O13" t="s">
        <v>3016</v>
      </c>
    </row>
    <row r="14" spans="1:16" x14ac:dyDescent="0.2">
      <c r="B14" t="s">
        <v>3039</v>
      </c>
      <c r="C14" t="s">
        <v>3040</v>
      </c>
      <c r="D14" t="s">
        <v>3027</v>
      </c>
      <c r="J14" t="s">
        <v>3016</v>
      </c>
      <c r="K14" t="s">
        <v>3016</v>
      </c>
      <c r="L14" t="s">
        <v>3016</v>
      </c>
    </row>
    <row r="15" spans="1:16" x14ac:dyDescent="0.2">
      <c r="B15" t="s">
        <v>3041</v>
      </c>
      <c r="C15" t="s">
        <v>3023</v>
      </c>
      <c r="D15" t="s">
        <v>3015</v>
      </c>
      <c r="J15" t="s">
        <v>3016</v>
      </c>
      <c r="K15" t="s">
        <v>3016</v>
      </c>
      <c r="L15" t="s">
        <v>3016</v>
      </c>
    </row>
    <row r="16" spans="1:16" x14ac:dyDescent="0.2">
      <c r="B16" t="s">
        <v>3042</v>
      </c>
      <c r="C16" t="s">
        <v>3043</v>
      </c>
      <c r="D16" t="s">
        <v>3015</v>
      </c>
      <c r="I16" t="s">
        <v>3016</v>
      </c>
      <c r="J16" t="s">
        <v>3016</v>
      </c>
      <c r="K16" t="s">
        <v>3016</v>
      </c>
      <c r="L16" t="s">
        <v>3016</v>
      </c>
      <c r="M16" t="s">
        <v>3016</v>
      </c>
    </row>
    <row r="17" spans="2:16" x14ac:dyDescent="0.2">
      <c r="B17" t="s">
        <v>3044</v>
      </c>
      <c r="C17" t="s">
        <v>3045</v>
      </c>
      <c r="D17" t="s">
        <v>3027</v>
      </c>
      <c r="E17" t="s">
        <v>3016</v>
      </c>
      <c r="F17" t="s">
        <v>3016</v>
      </c>
      <c r="P17" t="s">
        <v>3016</v>
      </c>
    </row>
    <row r="18" spans="2:16" x14ac:dyDescent="0.2">
      <c r="B18" t="s">
        <v>3046</v>
      </c>
      <c r="C18" t="s">
        <v>3023</v>
      </c>
      <c r="D18" t="s">
        <v>3047</v>
      </c>
      <c r="J18" t="s">
        <v>3016</v>
      </c>
      <c r="K18" t="s">
        <v>3016</v>
      </c>
      <c r="L18" t="s">
        <v>3016</v>
      </c>
      <c r="M18" t="s">
        <v>3016</v>
      </c>
    </row>
    <row r="19" spans="2:16" x14ac:dyDescent="0.2">
      <c r="B19" t="s">
        <v>3048</v>
      </c>
      <c r="C19" t="s">
        <v>3031</v>
      </c>
      <c r="D19" t="s">
        <v>3049</v>
      </c>
      <c r="K19" t="s">
        <v>3016</v>
      </c>
      <c r="L19" t="s">
        <v>3016</v>
      </c>
    </row>
    <row r="20" spans="2:16" x14ac:dyDescent="0.2">
      <c r="B20" t="s">
        <v>3050</v>
      </c>
      <c r="C20" t="s">
        <v>3051</v>
      </c>
      <c r="D20" t="s">
        <v>3052</v>
      </c>
      <c r="J20" t="s">
        <v>3016</v>
      </c>
    </row>
    <row r="21" spans="2:16" x14ac:dyDescent="0.2">
      <c r="B21" t="s">
        <v>3053</v>
      </c>
      <c r="C21" t="s">
        <v>3054</v>
      </c>
      <c r="D21" t="s">
        <v>3019</v>
      </c>
      <c r="G21" t="s">
        <v>3016</v>
      </c>
      <c r="H21" t="s">
        <v>3016</v>
      </c>
      <c r="I21" t="s">
        <v>3016</v>
      </c>
      <c r="J21" t="s">
        <v>3016</v>
      </c>
      <c r="K21" t="s">
        <v>3016</v>
      </c>
      <c r="L21" t="s">
        <v>3016</v>
      </c>
      <c r="M21" t="s">
        <v>3016</v>
      </c>
      <c r="N21" t="s">
        <v>3016</v>
      </c>
      <c r="O21" t="s">
        <v>3016</v>
      </c>
    </row>
    <row r="22" spans="2:16" x14ac:dyDescent="0.2">
      <c r="B22" t="s">
        <v>3055</v>
      </c>
      <c r="C22" t="s">
        <v>3056</v>
      </c>
      <c r="D22" t="s">
        <v>3019</v>
      </c>
      <c r="E22" t="s">
        <v>3016</v>
      </c>
      <c r="F22" t="s">
        <v>3016</v>
      </c>
      <c r="G22" t="s">
        <v>3016</v>
      </c>
      <c r="H22" t="s">
        <v>3016</v>
      </c>
      <c r="I22" t="s">
        <v>3016</v>
      </c>
      <c r="J22" t="s">
        <v>3016</v>
      </c>
      <c r="K22" t="s">
        <v>3016</v>
      </c>
      <c r="L22" t="s">
        <v>3016</v>
      </c>
      <c r="M22" t="s">
        <v>3016</v>
      </c>
      <c r="N22" t="s">
        <v>3016</v>
      </c>
      <c r="O22" t="s">
        <v>3016</v>
      </c>
      <c r="P22" t="s">
        <v>3016</v>
      </c>
    </row>
    <row r="23" spans="2:16" x14ac:dyDescent="0.2">
      <c r="B23" t="s">
        <v>3057</v>
      </c>
      <c r="C23" t="s">
        <v>3031</v>
      </c>
      <c r="D23" t="s">
        <v>3019</v>
      </c>
      <c r="K23" t="s">
        <v>3016</v>
      </c>
      <c r="L23" t="s">
        <v>3016</v>
      </c>
      <c r="M23" t="s">
        <v>3016</v>
      </c>
    </row>
    <row r="24" spans="2:16" x14ac:dyDescent="0.2">
      <c r="B24" t="s">
        <v>3058</v>
      </c>
      <c r="C24" t="s">
        <v>3031</v>
      </c>
      <c r="D24" t="s">
        <v>3015</v>
      </c>
      <c r="K24" t="s">
        <v>3016</v>
      </c>
      <c r="L24" t="s">
        <v>3016</v>
      </c>
    </row>
    <row r="25" spans="2:16" x14ac:dyDescent="0.2">
      <c r="B25" t="s">
        <v>3059</v>
      </c>
      <c r="C25" t="s">
        <v>3023</v>
      </c>
      <c r="D25" t="s">
        <v>3060</v>
      </c>
      <c r="L25" t="s">
        <v>3016</v>
      </c>
      <c r="M25" t="s">
        <v>3016</v>
      </c>
      <c r="N25" t="s">
        <v>3016</v>
      </c>
    </row>
    <row r="26" spans="2:16" x14ac:dyDescent="0.2">
      <c r="B26" t="s">
        <v>3061</v>
      </c>
      <c r="C26" t="s">
        <v>3031</v>
      </c>
      <c r="D26" t="s">
        <v>3062</v>
      </c>
      <c r="K26" t="s">
        <v>3016</v>
      </c>
      <c r="L26" t="s">
        <v>3016</v>
      </c>
    </row>
    <row r="27" spans="2:16" x14ac:dyDescent="0.2">
      <c r="B27" t="s">
        <v>3063</v>
      </c>
      <c r="C27" t="s">
        <v>3040</v>
      </c>
      <c r="D27" t="s">
        <v>3027</v>
      </c>
      <c r="J27" t="s">
        <v>3016</v>
      </c>
      <c r="K27" t="s">
        <v>3016</v>
      </c>
      <c r="L27" t="s">
        <v>3016</v>
      </c>
    </row>
    <row r="28" spans="2:16" x14ac:dyDescent="0.2">
      <c r="B28" t="s">
        <v>3064</v>
      </c>
      <c r="C28" t="s">
        <v>3040</v>
      </c>
      <c r="D28" t="s">
        <v>3065</v>
      </c>
      <c r="J28" t="s">
        <v>3016</v>
      </c>
      <c r="K28" t="s">
        <v>3016</v>
      </c>
      <c r="L28" t="s">
        <v>3016</v>
      </c>
      <c r="M28" t="s">
        <v>3016</v>
      </c>
    </row>
    <row r="29" spans="2:16" x14ac:dyDescent="0.2">
      <c r="B29" t="s">
        <v>3066</v>
      </c>
      <c r="C29" t="s">
        <v>3026</v>
      </c>
      <c r="D29" t="s">
        <v>3015</v>
      </c>
      <c r="K29" t="s">
        <v>3016</v>
      </c>
      <c r="L29" t="s">
        <v>3016</v>
      </c>
      <c r="M29" t="s">
        <v>3016</v>
      </c>
    </row>
    <row r="30" spans="2:16" x14ac:dyDescent="0.2">
      <c r="B30" t="s">
        <v>3067</v>
      </c>
      <c r="C30" t="s">
        <v>3068</v>
      </c>
      <c r="D30" t="s">
        <v>3065</v>
      </c>
      <c r="E30" t="s">
        <v>3016</v>
      </c>
      <c r="F30" t="s">
        <v>3016</v>
      </c>
      <c r="G30" t="s">
        <v>3016</v>
      </c>
      <c r="H30" t="s">
        <v>3016</v>
      </c>
      <c r="I30" t="s">
        <v>3016</v>
      </c>
      <c r="J30" t="s">
        <v>3016</v>
      </c>
      <c r="K30" t="s">
        <v>3016</v>
      </c>
      <c r="L30" t="s">
        <v>3016</v>
      </c>
      <c r="M30" t="s">
        <v>3016</v>
      </c>
      <c r="N30" t="s">
        <v>3016</v>
      </c>
      <c r="O30" t="s">
        <v>3016</v>
      </c>
      <c r="P30" t="s">
        <v>3016</v>
      </c>
    </row>
    <row r="31" spans="2:16" x14ac:dyDescent="0.2">
      <c r="B31" t="s">
        <v>3069</v>
      </c>
      <c r="C31" t="s">
        <v>3014</v>
      </c>
      <c r="D31" t="s">
        <v>3015</v>
      </c>
      <c r="G31" t="s">
        <v>3016</v>
      </c>
      <c r="H31" t="s">
        <v>3016</v>
      </c>
      <c r="I31" t="s">
        <v>3016</v>
      </c>
      <c r="J31" t="s">
        <v>3016</v>
      </c>
      <c r="K31" t="s">
        <v>3016</v>
      </c>
    </row>
    <row r="32" spans="2:16" x14ac:dyDescent="0.2">
      <c r="B32" t="s">
        <v>3070</v>
      </c>
      <c r="C32" t="s">
        <v>3040</v>
      </c>
      <c r="D32" t="s">
        <v>3027</v>
      </c>
      <c r="J32" t="s">
        <v>3016</v>
      </c>
      <c r="K32" t="s">
        <v>3016</v>
      </c>
      <c r="L32" t="s">
        <v>3016</v>
      </c>
    </row>
    <row r="33" spans="2:16" x14ac:dyDescent="0.2">
      <c r="B33" t="s">
        <v>3071</v>
      </c>
      <c r="C33" t="s">
        <v>3031</v>
      </c>
      <c r="D33" t="s">
        <v>3065</v>
      </c>
      <c r="J33" t="s">
        <v>3016</v>
      </c>
      <c r="K33" t="s">
        <v>3016</v>
      </c>
      <c r="L33" t="s">
        <v>3016</v>
      </c>
    </row>
    <row r="34" spans="2:16" x14ac:dyDescent="0.2">
      <c r="B34" t="s">
        <v>3072</v>
      </c>
      <c r="C34" t="s">
        <v>3040</v>
      </c>
      <c r="D34" t="s">
        <v>3027</v>
      </c>
      <c r="J34" t="s">
        <v>3016</v>
      </c>
      <c r="K34" t="s">
        <v>3016</v>
      </c>
      <c r="L34" t="s">
        <v>3016</v>
      </c>
    </row>
    <row r="35" spans="2:16" x14ac:dyDescent="0.2">
      <c r="B35" t="s">
        <v>3073</v>
      </c>
      <c r="C35" t="s">
        <v>3040</v>
      </c>
      <c r="D35" t="s">
        <v>3027</v>
      </c>
      <c r="J35" t="s">
        <v>3016</v>
      </c>
      <c r="K35" t="s">
        <v>3016</v>
      </c>
      <c r="L35" t="s">
        <v>3016</v>
      </c>
    </row>
    <row r="36" spans="2:16" x14ac:dyDescent="0.2">
      <c r="B36" t="s">
        <v>3074</v>
      </c>
      <c r="C36" t="s">
        <v>3033</v>
      </c>
      <c r="D36" t="s">
        <v>3065</v>
      </c>
      <c r="L36" t="s">
        <v>3016</v>
      </c>
      <c r="M36" t="s">
        <v>3016</v>
      </c>
      <c r="N36" t="s">
        <v>3016</v>
      </c>
    </row>
    <row r="37" spans="2:16" x14ac:dyDescent="0.2">
      <c r="B37" t="s">
        <v>3075</v>
      </c>
      <c r="C37" t="s">
        <v>3031</v>
      </c>
      <c r="D37" t="s">
        <v>3015</v>
      </c>
      <c r="K37" t="s">
        <v>3016</v>
      </c>
      <c r="L37" t="s">
        <v>3016</v>
      </c>
    </row>
    <row r="38" spans="2:16" x14ac:dyDescent="0.2">
      <c r="B38" t="s">
        <v>3076</v>
      </c>
      <c r="C38" t="s">
        <v>3077</v>
      </c>
      <c r="D38" t="s">
        <v>3015</v>
      </c>
      <c r="G38" t="s">
        <v>3016</v>
      </c>
      <c r="H38" t="s">
        <v>3016</v>
      </c>
      <c r="I38" t="s">
        <v>3016</v>
      </c>
      <c r="J38" t="s">
        <v>3016</v>
      </c>
      <c r="N38" t="s">
        <v>3016</v>
      </c>
    </row>
    <row r="39" spans="2:16" x14ac:dyDescent="0.2">
      <c r="B39" t="s">
        <v>3078</v>
      </c>
      <c r="C39" t="s">
        <v>3031</v>
      </c>
      <c r="D39" t="s">
        <v>3079</v>
      </c>
      <c r="J39" t="s">
        <v>3016</v>
      </c>
      <c r="K39" t="s">
        <v>3016</v>
      </c>
      <c r="L39" t="s">
        <v>3016</v>
      </c>
      <c r="M39" t="s">
        <v>3016</v>
      </c>
    </row>
    <row r="40" spans="2:16" x14ac:dyDescent="0.2">
      <c r="B40" t="s">
        <v>3080</v>
      </c>
      <c r="C40" t="s">
        <v>3026</v>
      </c>
      <c r="D40" t="s">
        <v>3081</v>
      </c>
      <c r="I40" t="s">
        <v>3016</v>
      </c>
      <c r="J40" t="s">
        <v>3016</v>
      </c>
      <c r="K40" t="s">
        <v>3016</v>
      </c>
      <c r="L40" t="s">
        <v>3016</v>
      </c>
      <c r="M40" t="s">
        <v>3016</v>
      </c>
      <c r="N40" t="s">
        <v>3016</v>
      </c>
      <c r="O40" t="s">
        <v>3016</v>
      </c>
    </row>
    <row r="41" spans="2:16" x14ac:dyDescent="0.2">
      <c r="B41" t="s">
        <v>3082</v>
      </c>
      <c r="C41" t="s">
        <v>3083</v>
      </c>
      <c r="D41" t="s">
        <v>3084</v>
      </c>
      <c r="K41" t="s">
        <v>3016</v>
      </c>
      <c r="L41" t="s">
        <v>3016</v>
      </c>
    </row>
    <row r="42" spans="2:16" x14ac:dyDescent="0.2">
      <c r="B42" t="s">
        <v>3085</v>
      </c>
      <c r="C42" t="s">
        <v>3077</v>
      </c>
      <c r="D42" t="s">
        <v>3015</v>
      </c>
      <c r="H42" t="s">
        <v>3016</v>
      </c>
      <c r="I42" t="s">
        <v>3016</v>
      </c>
      <c r="J42" t="s">
        <v>3016</v>
      </c>
      <c r="K42" t="s">
        <v>3016</v>
      </c>
      <c r="L42" t="s">
        <v>3016</v>
      </c>
      <c r="M42" t="s">
        <v>3016</v>
      </c>
      <c r="N42" t="s">
        <v>3016</v>
      </c>
      <c r="O42" t="s">
        <v>3016</v>
      </c>
    </row>
    <row r="43" spans="2:16" x14ac:dyDescent="0.2">
      <c r="B43" t="s">
        <v>3086</v>
      </c>
      <c r="C43" t="s">
        <v>3026</v>
      </c>
      <c r="D43" t="s">
        <v>3081</v>
      </c>
      <c r="L43" t="s">
        <v>3016</v>
      </c>
      <c r="M43" t="s">
        <v>3016</v>
      </c>
      <c r="N43" t="s">
        <v>3016</v>
      </c>
      <c r="O43" t="s">
        <v>3016</v>
      </c>
    </row>
    <row r="44" spans="2:16" x14ac:dyDescent="0.2">
      <c r="B44" t="s">
        <v>3087</v>
      </c>
      <c r="C44" t="s">
        <v>3031</v>
      </c>
      <c r="D44" t="s">
        <v>3019</v>
      </c>
      <c r="K44" t="s">
        <v>3016</v>
      </c>
      <c r="L44" t="s">
        <v>3016</v>
      </c>
    </row>
    <row r="45" spans="2:16" x14ac:dyDescent="0.2">
      <c r="B45" t="s">
        <v>3088</v>
      </c>
      <c r="C45" t="s">
        <v>3089</v>
      </c>
      <c r="D45" t="s">
        <v>3019</v>
      </c>
      <c r="E45" t="s">
        <v>3016</v>
      </c>
      <c r="F45" t="s">
        <v>3016</v>
      </c>
      <c r="G45" t="s">
        <v>3016</v>
      </c>
      <c r="H45" t="s">
        <v>3016</v>
      </c>
      <c r="I45" t="s">
        <v>3016</v>
      </c>
      <c r="O45" t="s">
        <v>3016</v>
      </c>
      <c r="P45" t="s">
        <v>3016</v>
      </c>
    </row>
    <row r="46" spans="2:16" x14ac:dyDescent="0.2">
      <c r="B46" t="s">
        <v>3090</v>
      </c>
      <c r="C46" t="s">
        <v>3023</v>
      </c>
      <c r="D46" t="s">
        <v>3091</v>
      </c>
      <c r="M46" t="s">
        <v>3016</v>
      </c>
      <c r="N46" t="s">
        <v>3016</v>
      </c>
      <c r="O46" t="s">
        <v>3016</v>
      </c>
    </row>
    <row r="47" spans="2:16" x14ac:dyDescent="0.2">
      <c r="B47" t="s">
        <v>3092</v>
      </c>
      <c r="C47" t="s">
        <v>3023</v>
      </c>
      <c r="D47" t="s">
        <v>3093</v>
      </c>
      <c r="J47" t="s">
        <v>3016</v>
      </c>
      <c r="K47" t="s">
        <v>3016</v>
      </c>
      <c r="L47" t="s">
        <v>3016</v>
      </c>
      <c r="M47" t="s">
        <v>3016</v>
      </c>
    </row>
    <row r="48" spans="2:16" x14ac:dyDescent="0.2">
      <c r="B48" t="s">
        <v>3094</v>
      </c>
      <c r="C48" t="s">
        <v>3095</v>
      </c>
      <c r="D48" t="s">
        <v>3052</v>
      </c>
      <c r="I48" t="s">
        <v>3016</v>
      </c>
      <c r="J48" t="s">
        <v>3016</v>
      </c>
      <c r="K48" t="s">
        <v>3016</v>
      </c>
      <c r="L48" t="s">
        <v>3016</v>
      </c>
      <c r="M48" t="s">
        <v>3016</v>
      </c>
    </row>
    <row r="49" spans="2:16" x14ac:dyDescent="0.2">
      <c r="B49" t="s">
        <v>3096</v>
      </c>
      <c r="C49" t="s">
        <v>3031</v>
      </c>
      <c r="D49" t="s">
        <v>3052</v>
      </c>
      <c r="J49" t="s">
        <v>3016</v>
      </c>
      <c r="K49" t="s">
        <v>3016</v>
      </c>
      <c r="L49" t="s">
        <v>3016</v>
      </c>
      <c r="M49" t="s">
        <v>3016</v>
      </c>
    </row>
    <row r="50" spans="2:16" x14ac:dyDescent="0.2">
      <c r="B50" t="s">
        <v>3097</v>
      </c>
      <c r="C50" t="s">
        <v>3098</v>
      </c>
      <c r="D50" t="s">
        <v>3081</v>
      </c>
      <c r="H50" t="s">
        <v>3016</v>
      </c>
      <c r="I50" t="s">
        <v>3016</v>
      </c>
      <c r="J50" t="s">
        <v>3016</v>
      </c>
      <c r="K50" t="s">
        <v>3016</v>
      </c>
      <c r="L50" t="s">
        <v>3016</v>
      </c>
      <c r="M50" t="s">
        <v>3016</v>
      </c>
      <c r="N50" t="s">
        <v>3016</v>
      </c>
      <c r="O50" t="s">
        <v>3016</v>
      </c>
    </row>
    <row r="51" spans="2:16" x14ac:dyDescent="0.2">
      <c r="B51" t="s">
        <v>3099</v>
      </c>
      <c r="C51" t="s">
        <v>3100</v>
      </c>
      <c r="D51" t="s">
        <v>3037</v>
      </c>
      <c r="G51" t="s">
        <v>3016</v>
      </c>
      <c r="H51" t="s">
        <v>3016</v>
      </c>
      <c r="I51" t="s">
        <v>3016</v>
      </c>
      <c r="J51" t="s">
        <v>3016</v>
      </c>
      <c r="K51" t="s">
        <v>3016</v>
      </c>
      <c r="L51" t="s">
        <v>3016</v>
      </c>
      <c r="M51" t="s">
        <v>3016</v>
      </c>
    </row>
    <row r="52" spans="2:16" x14ac:dyDescent="0.2">
      <c r="B52" t="s">
        <v>3101</v>
      </c>
      <c r="C52" t="s">
        <v>3033</v>
      </c>
      <c r="D52" t="s">
        <v>3019</v>
      </c>
      <c r="E52" t="s">
        <v>3016</v>
      </c>
      <c r="F52" t="s">
        <v>3016</v>
      </c>
      <c r="G52" t="s">
        <v>3016</v>
      </c>
      <c r="H52" t="s">
        <v>3016</v>
      </c>
      <c r="I52" t="s">
        <v>3016</v>
      </c>
      <c r="J52" t="s">
        <v>3016</v>
      </c>
      <c r="K52" t="s">
        <v>3016</v>
      </c>
      <c r="L52" t="s">
        <v>3016</v>
      </c>
      <c r="M52" t="s">
        <v>3016</v>
      </c>
      <c r="N52" t="s">
        <v>3016</v>
      </c>
      <c r="O52" t="s">
        <v>3016</v>
      </c>
      <c r="P52" t="s">
        <v>3016</v>
      </c>
    </row>
    <row r="53" spans="2:16" x14ac:dyDescent="0.2">
      <c r="B53" t="s">
        <v>3102</v>
      </c>
      <c r="C53" t="s">
        <v>3103</v>
      </c>
      <c r="D53" t="s">
        <v>3081</v>
      </c>
      <c r="I53" t="s">
        <v>3016</v>
      </c>
      <c r="J53" t="s">
        <v>3016</v>
      </c>
      <c r="K53" t="s">
        <v>3016</v>
      </c>
      <c r="L53" t="s">
        <v>3016</v>
      </c>
      <c r="M53" t="s">
        <v>3016</v>
      </c>
    </row>
    <row r="54" spans="2:16" x14ac:dyDescent="0.2">
      <c r="B54" t="s">
        <v>3104</v>
      </c>
      <c r="C54" t="s">
        <v>3031</v>
      </c>
      <c r="D54" t="s">
        <v>3027</v>
      </c>
      <c r="J54" t="s">
        <v>3016</v>
      </c>
      <c r="K54" t="s">
        <v>3016</v>
      </c>
      <c r="L54" t="s">
        <v>3016</v>
      </c>
      <c r="M54" t="s">
        <v>3016</v>
      </c>
    </row>
    <row r="55" spans="2:16" x14ac:dyDescent="0.2">
      <c r="B55" t="s">
        <v>3105</v>
      </c>
      <c r="C55" t="s">
        <v>3023</v>
      </c>
      <c r="D55" t="s">
        <v>3015</v>
      </c>
      <c r="I55" t="s">
        <v>3016</v>
      </c>
      <c r="J55" t="s">
        <v>3016</v>
      </c>
      <c r="K55" t="s">
        <v>3016</v>
      </c>
      <c r="L55" t="s">
        <v>3016</v>
      </c>
      <c r="M55" t="s">
        <v>3016</v>
      </c>
    </row>
    <row r="56" spans="2:16" x14ac:dyDescent="0.2">
      <c r="B56" t="s">
        <v>3106</v>
      </c>
      <c r="C56" t="s">
        <v>3023</v>
      </c>
      <c r="D56" t="s">
        <v>3081</v>
      </c>
      <c r="M56" t="s">
        <v>3016</v>
      </c>
      <c r="N56" t="s">
        <v>3016</v>
      </c>
    </row>
    <row r="57" spans="2:16" x14ac:dyDescent="0.2">
      <c r="B57" t="s">
        <v>3107</v>
      </c>
      <c r="C57" t="s">
        <v>3026</v>
      </c>
      <c r="D57" t="s">
        <v>3081</v>
      </c>
      <c r="L57" t="s">
        <v>3016</v>
      </c>
    </row>
    <row r="58" spans="2:16" x14ac:dyDescent="0.2">
      <c r="B58" t="s">
        <v>3108</v>
      </c>
      <c r="C58" t="s">
        <v>3031</v>
      </c>
      <c r="D58" t="s">
        <v>3015</v>
      </c>
      <c r="K58" t="s">
        <v>3016</v>
      </c>
      <c r="L58" t="s">
        <v>3016</v>
      </c>
    </row>
    <row r="59" spans="2:16" x14ac:dyDescent="0.2">
      <c r="B59" t="s">
        <v>3109</v>
      </c>
      <c r="C59" t="s">
        <v>3031</v>
      </c>
      <c r="D59" t="s">
        <v>3019</v>
      </c>
      <c r="K59" t="s">
        <v>3016</v>
      </c>
      <c r="L59" t="s">
        <v>3016</v>
      </c>
    </row>
    <row r="60" spans="2:16" x14ac:dyDescent="0.2">
      <c r="B60" t="s">
        <v>3110</v>
      </c>
      <c r="C60" t="s">
        <v>3031</v>
      </c>
      <c r="D60" t="s">
        <v>3111</v>
      </c>
      <c r="K60" t="s">
        <v>3016</v>
      </c>
      <c r="L60" t="s">
        <v>3016</v>
      </c>
    </row>
    <row r="61" spans="2:16" x14ac:dyDescent="0.2">
      <c r="B61" t="s">
        <v>3112</v>
      </c>
      <c r="C61" t="s">
        <v>3026</v>
      </c>
      <c r="D61" t="s">
        <v>3052</v>
      </c>
      <c r="K61" t="s">
        <v>3016</v>
      </c>
      <c r="L61" t="s">
        <v>3016</v>
      </c>
      <c r="M61" t="s">
        <v>3016</v>
      </c>
    </row>
    <row r="62" spans="2:16" x14ac:dyDescent="0.2">
      <c r="B62" t="s">
        <v>3113</v>
      </c>
      <c r="C62" t="s">
        <v>3114</v>
      </c>
      <c r="D62" t="s">
        <v>3019</v>
      </c>
      <c r="H62" t="s">
        <v>3016</v>
      </c>
      <c r="I62" t="s">
        <v>3016</v>
      </c>
      <c r="J62" t="s">
        <v>3016</v>
      </c>
      <c r="K62" t="s">
        <v>3016</v>
      </c>
      <c r="L62" t="s">
        <v>3016</v>
      </c>
      <c r="M62" t="s">
        <v>3016</v>
      </c>
    </row>
    <row r="63" spans="2:16" x14ac:dyDescent="0.2">
      <c r="B63" t="s">
        <v>3115</v>
      </c>
      <c r="C63" t="s">
        <v>3021</v>
      </c>
      <c r="D63" t="s">
        <v>3019</v>
      </c>
      <c r="G63" t="s">
        <v>3016</v>
      </c>
      <c r="H63" t="s">
        <v>3016</v>
      </c>
      <c r="I63" t="s">
        <v>3016</v>
      </c>
      <c r="J63" t="s">
        <v>3016</v>
      </c>
      <c r="K63" t="s">
        <v>3016</v>
      </c>
      <c r="L63" t="s">
        <v>3016</v>
      </c>
      <c r="M63" t="s">
        <v>3016</v>
      </c>
      <c r="N63" t="s">
        <v>3016</v>
      </c>
    </row>
    <row r="64" spans="2:16" x14ac:dyDescent="0.2">
      <c r="B64" t="s">
        <v>3116</v>
      </c>
      <c r="C64" t="s">
        <v>3031</v>
      </c>
      <c r="D64" t="s">
        <v>3019</v>
      </c>
      <c r="H64" t="s">
        <v>3016</v>
      </c>
      <c r="I64" t="s">
        <v>3016</v>
      </c>
      <c r="J64" t="s">
        <v>3016</v>
      </c>
      <c r="K64" t="s">
        <v>3016</v>
      </c>
      <c r="L64" t="s">
        <v>3016</v>
      </c>
      <c r="M64" t="s">
        <v>3016</v>
      </c>
      <c r="N64" t="s">
        <v>3016</v>
      </c>
    </row>
    <row r="65" spans="2:16" x14ac:dyDescent="0.2">
      <c r="B65" t="s">
        <v>3117</v>
      </c>
      <c r="C65" t="s">
        <v>3026</v>
      </c>
      <c r="D65" t="s">
        <v>3052</v>
      </c>
      <c r="J65" t="s">
        <v>3016</v>
      </c>
      <c r="K65" t="s">
        <v>3016</v>
      </c>
      <c r="L65" t="s">
        <v>3016</v>
      </c>
    </row>
    <row r="66" spans="2:16" x14ac:dyDescent="0.2">
      <c r="B66" t="s">
        <v>3118</v>
      </c>
      <c r="C66" t="s">
        <v>3026</v>
      </c>
      <c r="D66" t="s">
        <v>3119</v>
      </c>
      <c r="G66" t="s">
        <v>3016</v>
      </c>
      <c r="H66" t="s">
        <v>3016</v>
      </c>
      <c r="I66" t="s">
        <v>3016</v>
      </c>
      <c r="J66" t="s">
        <v>3016</v>
      </c>
      <c r="K66" t="s">
        <v>3016</v>
      </c>
      <c r="L66" t="s">
        <v>3016</v>
      </c>
      <c r="M66" t="s">
        <v>3016</v>
      </c>
      <c r="N66" t="s">
        <v>3016</v>
      </c>
    </row>
    <row r="67" spans="2:16" x14ac:dyDescent="0.2">
      <c r="B67" t="s">
        <v>3120</v>
      </c>
      <c r="C67" t="s">
        <v>3014</v>
      </c>
      <c r="D67" t="s">
        <v>3081</v>
      </c>
      <c r="G67" t="s">
        <v>3016</v>
      </c>
      <c r="H67" t="s">
        <v>3016</v>
      </c>
      <c r="I67" t="s">
        <v>3016</v>
      </c>
      <c r="J67" t="s">
        <v>3016</v>
      </c>
      <c r="K67" t="s">
        <v>3016</v>
      </c>
      <c r="L67" t="s">
        <v>3016</v>
      </c>
      <c r="M67" t="s">
        <v>3016</v>
      </c>
    </row>
    <row r="68" spans="2:16" x14ac:dyDescent="0.2">
      <c r="B68" t="s">
        <v>3121</v>
      </c>
      <c r="C68" t="s">
        <v>3083</v>
      </c>
      <c r="D68" t="s">
        <v>3037</v>
      </c>
      <c r="J68" t="s">
        <v>3016</v>
      </c>
      <c r="M68" t="s">
        <v>3016</v>
      </c>
      <c r="N68" t="s">
        <v>3016</v>
      </c>
      <c r="O68" t="s">
        <v>3016</v>
      </c>
    </row>
    <row r="69" spans="2:16" x14ac:dyDescent="0.2">
      <c r="B69" t="s">
        <v>3122</v>
      </c>
      <c r="C69" t="s">
        <v>3031</v>
      </c>
      <c r="D69" t="s">
        <v>3015</v>
      </c>
      <c r="K69" t="s">
        <v>3016</v>
      </c>
      <c r="L69" t="s">
        <v>3016</v>
      </c>
      <c r="M69" t="s">
        <v>3016</v>
      </c>
    </row>
    <row r="70" spans="2:16" x14ac:dyDescent="0.2">
      <c r="B70" t="s">
        <v>3123</v>
      </c>
      <c r="C70" t="s">
        <v>3026</v>
      </c>
      <c r="D70" t="s">
        <v>3015</v>
      </c>
      <c r="K70" t="s">
        <v>3016</v>
      </c>
      <c r="L70" t="s">
        <v>3016</v>
      </c>
      <c r="M70" t="s">
        <v>3016</v>
      </c>
    </row>
    <row r="71" spans="2:16" x14ac:dyDescent="0.2">
      <c r="B71" t="s">
        <v>3124</v>
      </c>
      <c r="C71" t="s">
        <v>3031</v>
      </c>
      <c r="D71" t="s">
        <v>3037</v>
      </c>
      <c r="K71" t="s">
        <v>3016</v>
      </c>
      <c r="L71" t="s">
        <v>3016</v>
      </c>
      <c r="M71" t="s">
        <v>3016</v>
      </c>
      <c r="N71" t="s">
        <v>3016</v>
      </c>
      <c r="O71" t="s">
        <v>3016</v>
      </c>
    </row>
    <row r="72" spans="2:16" x14ac:dyDescent="0.2">
      <c r="B72" t="s">
        <v>3125</v>
      </c>
      <c r="C72" t="s">
        <v>3068</v>
      </c>
      <c r="D72" t="s">
        <v>3019</v>
      </c>
      <c r="E72" t="s">
        <v>3016</v>
      </c>
      <c r="F72" t="s">
        <v>3016</v>
      </c>
      <c r="G72" t="s">
        <v>3016</v>
      </c>
      <c r="H72" t="s">
        <v>3016</v>
      </c>
      <c r="I72" t="s">
        <v>3016</v>
      </c>
      <c r="J72" t="s">
        <v>3016</v>
      </c>
      <c r="K72" t="s">
        <v>3016</v>
      </c>
      <c r="L72" t="s">
        <v>3016</v>
      </c>
      <c r="M72" t="s">
        <v>3016</v>
      </c>
      <c r="N72" t="s">
        <v>3016</v>
      </c>
      <c r="O72" t="s">
        <v>3016</v>
      </c>
      <c r="P72" t="s">
        <v>3016</v>
      </c>
    </row>
    <row r="73" spans="2:16" x14ac:dyDescent="0.2">
      <c r="B73" t="s">
        <v>3126</v>
      </c>
      <c r="C73" t="s">
        <v>3014</v>
      </c>
      <c r="D73" t="s">
        <v>3127</v>
      </c>
      <c r="G73" t="s">
        <v>3016</v>
      </c>
      <c r="H73" t="s">
        <v>3016</v>
      </c>
      <c r="I73" t="s">
        <v>3016</v>
      </c>
      <c r="J73" t="s">
        <v>3016</v>
      </c>
      <c r="M73" t="s">
        <v>3016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73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  <col min="3" max="3" width="17.33203125" customWidth="1"/>
    <col min="4" max="4" width="6.33203125" customWidth="1"/>
    <col min="5" max="5" width="22.6640625" customWidth="1"/>
    <col min="6" max="17" width="6.33203125" customWidth="1"/>
  </cols>
  <sheetData>
    <row r="1" spans="1:17" x14ac:dyDescent="0.2">
      <c r="A1" s="1" t="s">
        <v>2932</v>
      </c>
      <c r="B1" s="1" t="s">
        <v>55</v>
      </c>
      <c r="C1" s="1" t="s">
        <v>3001</v>
      </c>
      <c r="D1" s="1" t="s">
        <v>3128</v>
      </c>
      <c r="E1" s="1" t="s">
        <v>53</v>
      </c>
      <c r="F1" s="1" t="s">
        <v>3002</v>
      </c>
      <c r="G1" s="1" t="s">
        <v>3003</v>
      </c>
      <c r="H1" s="1" t="s">
        <v>3004</v>
      </c>
      <c r="I1" s="1" t="s">
        <v>3005</v>
      </c>
      <c r="J1" s="1" t="s">
        <v>43</v>
      </c>
      <c r="K1" s="1" t="s">
        <v>3006</v>
      </c>
      <c r="L1" s="1" t="s">
        <v>3007</v>
      </c>
      <c r="M1" s="1" t="s">
        <v>3008</v>
      </c>
      <c r="N1" s="1" t="s">
        <v>3009</v>
      </c>
      <c r="O1" s="1" t="s">
        <v>3010</v>
      </c>
      <c r="P1" s="1" t="s">
        <v>3011</v>
      </c>
      <c r="Q1" s="1" t="s">
        <v>3012</v>
      </c>
    </row>
    <row r="2" spans="1:17" x14ac:dyDescent="0.2">
      <c r="B2" t="s">
        <v>3129</v>
      </c>
      <c r="C2" t="s">
        <v>3130</v>
      </c>
      <c r="D2">
        <v>2</v>
      </c>
      <c r="E2" t="s">
        <v>3131</v>
      </c>
      <c r="J2" t="s">
        <v>3016</v>
      </c>
      <c r="K2" t="s">
        <v>3016</v>
      </c>
      <c r="L2" t="s">
        <v>3016</v>
      </c>
      <c r="M2" t="s">
        <v>3016</v>
      </c>
      <c r="N2" t="s">
        <v>3016</v>
      </c>
      <c r="O2" t="s">
        <v>3016</v>
      </c>
    </row>
    <row r="3" spans="1:17" x14ac:dyDescent="0.2">
      <c r="B3" t="s">
        <v>3132</v>
      </c>
      <c r="C3" t="s">
        <v>3130</v>
      </c>
      <c r="D3">
        <v>6</v>
      </c>
      <c r="E3" t="s">
        <v>3131</v>
      </c>
      <c r="L3" t="s">
        <v>3016</v>
      </c>
      <c r="M3" t="s">
        <v>3016</v>
      </c>
      <c r="N3" t="s">
        <v>3016</v>
      </c>
    </row>
    <row r="4" spans="1:17" x14ac:dyDescent="0.2">
      <c r="B4" t="s">
        <v>3133</v>
      </c>
      <c r="C4" t="s">
        <v>3130</v>
      </c>
      <c r="D4">
        <v>3</v>
      </c>
      <c r="E4" t="s">
        <v>3134</v>
      </c>
      <c r="K4" t="s">
        <v>3016</v>
      </c>
      <c r="L4" t="s">
        <v>3016</v>
      </c>
      <c r="M4" t="s">
        <v>3016</v>
      </c>
      <c r="N4" t="s">
        <v>3016</v>
      </c>
    </row>
    <row r="5" spans="1:17" x14ac:dyDescent="0.2">
      <c r="B5" t="s">
        <v>3135</v>
      </c>
      <c r="C5" t="s">
        <v>3130</v>
      </c>
      <c r="D5">
        <v>3</v>
      </c>
      <c r="E5" t="s">
        <v>3019</v>
      </c>
      <c r="F5" t="s">
        <v>3016</v>
      </c>
      <c r="G5" t="s">
        <v>3016</v>
      </c>
      <c r="H5" t="s">
        <v>3016</v>
      </c>
      <c r="I5" t="s">
        <v>3016</v>
      </c>
      <c r="J5" t="s">
        <v>3016</v>
      </c>
      <c r="K5" t="s">
        <v>3016</v>
      </c>
      <c r="L5" t="s">
        <v>3016</v>
      </c>
      <c r="M5" t="s">
        <v>3016</v>
      </c>
      <c r="N5" t="s">
        <v>3016</v>
      </c>
      <c r="O5" t="s">
        <v>3016</v>
      </c>
      <c r="P5" t="s">
        <v>3016</v>
      </c>
      <c r="Q5" t="s">
        <v>3016</v>
      </c>
    </row>
    <row r="6" spans="1:17" x14ac:dyDescent="0.2">
      <c r="B6" t="s">
        <v>3136</v>
      </c>
      <c r="C6" t="s">
        <v>3137</v>
      </c>
      <c r="D6">
        <v>3</v>
      </c>
      <c r="E6" t="s">
        <v>3019</v>
      </c>
      <c r="H6" t="s">
        <v>3016</v>
      </c>
      <c r="I6" t="s">
        <v>3016</v>
      </c>
      <c r="J6" t="s">
        <v>3016</v>
      </c>
      <c r="K6" t="s">
        <v>3016</v>
      </c>
      <c r="L6" t="s">
        <v>3016</v>
      </c>
      <c r="M6" t="s">
        <v>3016</v>
      </c>
      <c r="N6" t="s">
        <v>3016</v>
      </c>
      <c r="O6" t="s">
        <v>3016</v>
      </c>
      <c r="P6" t="s">
        <v>3016</v>
      </c>
    </row>
    <row r="7" spans="1:17" x14ac:dyDescent="0.2">
      <c r="B7" t="s">
        <v>3138</v>
      </c>
      <c r="C7" t="s">
        <v>3130</v>
      </c>
      <c r="D7">
        <v>1</v>
      </c>
      <c r="E7" t="s">
        <v>3019</v>
      </c>
      <c r="F7" t="s">
        <v>3016</v>
      </c>
      <c r="G7" t="s">
        <v>3016</v>
      </c>
      <c r="Q7" t="s">
        <v>3016</v>
      </c>
    </row>
    <row r="8" spans="1:17" x14ac:dyDescent="0.2">
      <c r="B8" t="s">
        <v>3139</v>
      </c>
      <c r="C8" t="s">
        <v>3130</v>
      </c>
      <c r="D8">
        <v>4</v>
      </c>
      <c r="E8" t="s">
        <v>3019</v>
      </c>
      <c r="F8" t="s">
        <v>3016</v>
      </c>
      <c r="G8" t="s">
        <v>3016</v>
      </c>
      <c r="H8" t="s">
        <v>3016</v>
      </c>
      <c r="I8" t="s">
        <v>3016</v>
      </c>
      <c r="J8" t="s">
        <v>3016</v>
      </c>
      <c r="K8" t="s">
        <v>3016</v>
      </c>
      <c r="L8" t="s">
        <v>3016</v>
      </c>
      <c r="M8" t="s">
        <v>3016</v>
      </c>
      <c r="N8" t="s">
        <v>3016</v>
      </c>
      <c r="O8" t="s">
        <v>3016</v>
      </c>
      <c r="P8" t="s">
        <v>3016</v>
      </c>
      <c r="Q8" t="s">
        <v>3016</v>
      </c>
    </row>
    <row r="9" spans="1:17" x14ac:dyDescent="0.2">
      <c r="B9" t="s">
        <v>3140</v>
      </c>
      <c r="C9" t="s">
        <v>3137</v>
      </c>
      <c r="D9">
        <v>3</v>
      </c>
      <c r="E9" t="s">
        <v>3019</v>
      </c>
      <c r="F9" t="s">
        <v>3016</v>
      </c>
      <c r="G9" t="s">
        <v>3016</v>
      </c>
      <c r="P9" t="s">
        <v>3016</v>
      </c>
      <c r="Q9" t="s">
        <v>3016</v>
      </c>
    </row>
    <row r="10" spans="1:17" x14ac:dyDescent="0.2">
      <c r="B10" t="s">
        <v>3141</v>
      </c>
      <c r="C10" t="s">
        <v>3137</v>
      </c>
      <c r="D10">
        <v>6</v>
      </c>
      <c r="E10" t="s">
        <v>3019</v>
      </c>
      <c r="K10" t="s">
        <v>3016</v>
      </c>
      <c r="L10" t="s">
        <v>3016</v>
      </c>
      <c r="M10" t="s">
        <v>3016</v>
      </c>
      <c r="N10" t="s">
        <v>3016</v>
      </c>
    </row>
    <row r="11" spans="1:17" x14ac:dyDescent="0.2">
      <c r="B11" t="s">
        <v>3142</v>
      </c>
      <c r="C11" t="s">
        <v>3130</v>
      </c>
      <c r="D11">
        <v>2</v>
      </c>
      <c r="E11" t="s">
        <v>3143</v>
      </c>
      <c r="F11" t="s">
        <v>3016</v>
      </c>
      <c r="G11" t="s">
        <v>3016</v>
      </c>
      <c r="H11" t="s">
        <v>3016</v>
      </c>
      <c r="I11" t="s">
        <v>3016</v>
      </c>
      <c r="J11" t="s">
        <v>3016</v>
      </c>
      <c r="K11" t="s">
        <v>3016</v>
      </c>
      <c r="L11" t="s">
        <v>3016</v>
      </c>
      <c r="M11" t="s">
        <v>3016</v>
      </c>
      <c r="N11" t="s">
        <v>3016</v>
      </c>
      <c r="O11" t="s">
        <v>3016</v>
      </c>
      <c r="P11" t="s">
        <v>3016</v>
      </c>
      <c r="Q11" t="s">
        <v>3016</v>
      </c>
    </row>
    <row r="12" spans="1:17" x14ac:dyDescent="0.2">
      <c r="B12" t="s">
        <v>3144</v>
      </c>
      <c r="C12" t="s">
        <v>3137</v>
      </c>
      <c r="D12">
        <v>2</v>
      </c>
      <c r="E12" t="s">
        <v>3019</v>
      </c>
      <c r="I12" t="s">
        <v>3016</v>
      </c>
      <c r="J12" t="s">
        <v>3016</v>
      </c>
      <c r="K12" t="s">
        <v>3016</v>
      </c>
      <c r="L12" t="s">
        <v>3016</v>
      </c>
      <c r="M12" t="s">
        <v>3016</v>
      </c>
      <c r="N12" t="s">
        <v>3016</v>
      </c>
    </row>
    <row r="13" spans="1:17" x14ac:dyDescent="0.2">
      <c r="B13" t="s">
        <v>3145</v>
      </c>
      <c r="C13" t="s">
        <v>3130</v>
      </c>
      <c r="D13">
        <v>4</v>
      </c>
      <c r="E13" t="s">
        <v>3019</v>
      </c>
      <c r="F13" t="s">
        <v>3016</v>
      </c>
      <c r="G13" t="s">
        <v>3016</v>
      </c>
      <c r="H13" t="s">
        <v>3016</v>
      </c>
      <c r="I13" t="s">
        <v>3016</v>
      </c>
      <c r="J13" t="s">
        <v>3016</v>
      </c>
      <c r="K13" t="s">
        <v>3016</v>
      </c>
      <c r="L13" t="s">
        <v>3016</v>
      </c>
      <c r="M13" t="s">
        <v>3016</v>
      </c>
      <c r="N13" t="s">
        <v>3016</v>
      </c>
      <c r="O13" t="s">
        <v>3016</v>
      </c>
      <c r="P13" t="s">
        <v>3016</v>
      </c>
      <c r="Q13" t="s">
        <v>3016</v>
      </c>
    </row>
    <row r="14" spans="1:17" x14ac:dyDescent="0.2">
      <c r="B14" t="s">
        <v>3146</v>
      </c>
      <c r="C14" t="s">
        <v>3147</v>
      </c>
      <c r="D14">
        <v>4</v>
      </c>
      <c r="E14" t="s">
        <v>3131</v>
      </c>
      <c r="H14" t="s">
        <v>3016</v>
      </c>
      <c r="I14" t="s">
        <v>3016</v>
      </c>
      <c r="J14" t="s">
        <v>3016</v>
      </c>
      <c r="K14" t="s">
        <v>3016</v>
      </c>
      <c r="L14" t="s">
        <v>3016</v>
      </c>
      <c r="M14" t="s">
        <v>3016</v>
      </c>
      <c r="N14" t="s">
        <v>3016</v>
      </c>
      <c r="O14" t="s">
        <v>3016</v>
      </c>
    </row>
    <row r="15" spans="1:17" x14ac:dyDescent="0.2">
      <c r="B15" t="s">
        <v>3148</v>
      </c>
      <c r="C15" t="s">
        <v>3149</v>
      </c>
      <c r="D15">
        <v>3</v>
      </c>
      <c r="E15" t="s">
        <v>3150</v>
      </c>
      <c r="H15" t="s">
        <v>3016</v>
      </c>
      <c r="I15" t="s">
        <v>3016</v>
      </c>
      <c r="J15" t="s">
        <v>3016</v>
      </c>
      <c r="K15" t="s">
        <v>3016</v>
      </c>
      <c r="N15" t="s">
        <v>3016</v>
      </c>
      <c r="O15" t="s">
        <v>3016</v>
      </c>
      <c r="P15" t="s">
        <v>3016</v>
      </c>
    </row>
    <row r="16" spans="1:17" x14ac:dyDescent="0.2">
      <c r="B16" t="s">
        <v>3151</v>
      </c>
      <c r="C16" t="s">
        <v>3130</v>
      </c>
      <c r="D16">
        <v>3</v>
      </c>
      <c r="E16" t="s">
        <v>3019</v>
      </c>
      <c r="H16" t="s">
        <v>3016</v>
      </c>
      <c r="I16" t="s">
        <v>3016</v>
      </c>
      <c r="J16" t="s">
        <v>3016</v>
      </c>
      <c r="K16" t="s">
        <v>3016</v>
      </c>
      <c r="N16" t="s">
        <v>3016</v>
      </c>
      <c r="O16" t="s">
        <v>3016</v>
      </c>
      <c r="P16" t="s">
        <v>3016</v>
      </c>
    </row>
    <row r="17" spans="2:17" x14ac:dyDescent="0.2">
      <c r="B17" t="s">
        <v>3152</v>
      </c>
      <c r="C17" t="s">
        <v>3137</v>
      </c>
      <c r="D17">
        <v>1</v>
      </c>
      <c r="E17" t="s">
        <v>3019</v>
      </c>
      <c r="I17" t="s">
        <v>3016</v>
      </c>
      <c r="J17" t="s">
        <v>3016</v>
      </c>
      <c r="K17" t="s">
        <v>3016</v>
      </c>
      <c r="L17" t="s">
        <v>3016</v>
      </c>
      <c r="M17" t="s">
        <v>3016</v>
      </c>
      <c r="N17" t="s">
        <v>3016</v>
      </c>
    </row>
    <row r="18" spans="2:17" x14ac:dyDescent="0.2">
      <c r="B18" t="s">
        <v>3153</v>
      </c>
      <c r="C18" t="s">
        <v>3154</v>
      </c>
      <c r="D18">
        <v>6</v>
      </c>
      <c r="E18" t="s">
        <v>3131</v>
      </c>
      <c r="F18" t="s">
        <v>3016</v>
      </c>
      <c r="G18" t="s">
        <v>3016</v>
      </c>
      <c r="H18" t="s">
        <v>3016</v>
      </c>
      <c r="I18" t="s">
        <v>3016</v>
      </c>
      <c r="J18" t="s">
        <v>3016</v>
      </c>
      <c r="K18" t="s">
        <v>3016</v>
      </c>
      <c r="L18" t="s">
        <v>3016</v>
      </c>
      <c r="M18" t="s">
        <v>3016</v>
      </c>
      <c r="N18" t="s">
        <v>3016</v>
      </c>
      <c r="O18" t="s">
        <v>3016</v>
      </c>
      <c r="P18" t="s">
        <v>3016</v>
      </c>
      <c r="Q18" t="s">
        <v>3016</v>
      </c>
    </row>
    <row r="19" spans="2:17" x14ac:dyDescent="0.2">
      <c r="B19" t="s">
        <v>3155</v>
      </c>
      <c r="C19" t="s">
        <v>3156</v>
      </c>
      <c r="D19">
        <v>2</v>
      </c>
      <c r="E19" t="s">
        <v>3157</v>
      </c>
      <c r="I19" t="s">
        <v>3016</v>
      </c>
      <c r="J19" t="s">
        <v>3016</v>
      </c>
      <c r="K19" t="s">
        <v>3016</v>
      </c>
      <c r="L19" t="s">
        <v>3016</v>
      </c>
      <c r="M19" t="s">
        <v>3016</v>
      </c>
      <c r="N19" t="s">
        <v>3016</v>
      </c>
    </row>
    <row r="20" spans="2:17" x14ac:dyDescent="0.2">
      <c r="B20" t="s">
        <v>3158</v>
      </c>
      <c r="C20" t="s">
        <v>3130</v>
      </c>
      <c r="D20">
        <v>2</v>
      </c>
      <c r="E20" t="s">
        <v>3019</v>
      </c>
      <c r="F20" t="s">
        <v>3016</v>
      </c>
      <c r="G20" t="s">
        <v>3016</v>
      </c>
      <c r="H20" t="s">
        <v>3016</v>
      </c>
      <c r="I20" t="s">
        <v>3016</v>
      </c>
      <c r="J20" t="s">
        <v>3016</v>
      </c>
      <c r="K20" t="s">
        <v>3016</v>
      </c>
      <c r="L20" t="s">
        <v>3016</v>
      </c>
      <c r="M20" t="s">
        <v>3016</v>
      </c>
      <c r="N20" t="s">
        <v>3016</v>
      </c>
      <c r="O20" t="s">
        <v>3016</v>
      </c>
      <c r="P20" t="s">
        <v>3016</v>
      </c>
      <c r="Q20" t="s">
        <v>3016</v>
      </c>
    </row>
    <row r="21" spans="2:17" x14ac:dyDescent="0.2">
      <c r="B21" t="s">
        <v>3159</v>
      </c>
      <c r="C21" t="s">
        <v>3137</v>
      </c>
      <c r="D21">
        <v>3</v>
      </c>
      <c r="E21" t="s">
        <v>3019</v>
      </c>
      <c r="F21" t="s">
        <v>3016</v>
      </c>
      <c r="G21" t="s">
        <v>3016</v>
      </c>
      <c r="H21" t="s">
        <v>3016</v>
      </c>
      <c r="I21" t="s">
        <v>3016</v>
      </c>
      <c r="P21" t="s">
        <v>3016</v>
      </c>
      <c r="Q21" t="s">
        <v>3016</v>
      </c>
    </row>
    <row r="22" spans="2:17" x14ac:dyDescent="0.2">
      <c r="B22" t="s">
        <v>3160</v>
      </c>
      <c r="C22" t="s">
        <v>3130</v>
      </c>
      <c r="D22">
        <v>3</v>
      </c>
      <c r="E22" t="s">
        <v>3131</v>
      </c>
      <c r="F22" t="s">
        <v>3016</v>
      </c>
      <c r="G22" t="s">
        <v>3016</v>
      </c>
      <c r="H22" t="s">
        <v>3016</v>
      </c>
      <c r="I22" t="s">
        <v>3016</v>
      </c>
      <c r="J22" t="s">
        <v>3016</v>
      </c>
      <c r="K22" t="s">
        <v>3016</v>
      </c>
      <c r="L22" t="s">
        <v>3016</v>
      </c>
      <c r="M22" t="s">
        <v>3016</v>
      </c>
      <c r="N22" t="s">
        <v>3016</v>
      </c>
      <c r="O22" t="s">
        <v>3016</v>
      </c>
      <c r="P22" t="s">
        <v>3016</v>
      </c>
      <c r="Q22" t="s">
        <v>3016</v>
      </c>
    </row>
    <row r="23" spans="2:17" x14ac:dyDescent="0.2">
      <c r="B23" t="s">
        <v>3161</v>
      </c>
      <c r="C23" t="s">
        <v>3130</v>
      </c>
      <c r="D23">
        <v>5</v>
      </c>
      <c r="E23" t="s">
        <v>3162</v>
      </c>
      <c r="K23" t="s">
        <v>3016</v>
      </c>
      <c r="L23" t="s">
        <v>3016</v>
      </c>
      <c r="M23" t="s">
        <v>3016</v>
      </c>
      <c r="N23" t="s">
        <v>3016</v>
      </c>
    </row>
    <row r="24" spans="2:17" x14ac:dyDescent="0.2">
      <c r="B24" t="s">
        <v>3163</v>
      </c>
      <c r="C24" t="s">
        <v>3130</v>
      </c>
      <c r="D24" t="s">
        <v>3164</v>
      </c>
      <c r="E24" t="s">
        <v>3134</v>
      </c>
      <c r="K24" t="s">
        <v>3016</v>
      </c>
      <c r="L24" t="s">
        <v>3016</v>
      </c>
      <c r="M24" t="s">
        <v>3016</v>
      </c>
      <c r="N24" t="s">
        <v>3016</v>
      </c>
    </row>
    <row r="25" spans="2:17" x14ac:dyDescent="0.2">
      <c r="B25" t="s">
        <v>3165</v>
      </c>
      <c r="C25" t="s">
        <v>3137</v>
      </c>
      <c r="D25">
        <v>4</v>
      </c>
      <c r="E25" t="s">
        <v>3131</v>
      </c>
      <c r="F25" t="s">
        <v>3016</v>
      </c>
      <c r="G25" t="s">
        <v>3016</v>
      </c>
      <c r="H25" t="s">
        <v>3016</v>
      </c>
      <c r="P25" t="s">
        <v>3016</v>
      </c>
      <c r="Q25" t="s">
        <v>3016</v>
      </c>
    </row>
    <row r="26" spans="2:17" x14ac:dyDescent="0.2">
      <c r="B26" t="s">
        <v>3166</v>
      </c>
      <c r="C26" t="s">
        <v>3130</v>
      </c>
      <c r="D26">
        <v>2</v>
      </c>
      <c r="E26" t="s">
        <v>3131</v>
      </c>
      <c r="F26" t="s">
        <v>3016</v>
      </c>
      <c r="G26" t="s">
        <v>3016</v>
      </c>
      <c r="H26" t="s">
        <v>3016</v>
      </c>
      <c r="I26" t="s">
        <v>3016</v>
      </c>
      <c r="J26" t="s">
        <v>3016</v>
      </c>
      <c r="K26" t="s">
        <v>3016</v>
      </c>
      <c r="L26" t="s">
        <v>3016</v>
      </c>
      <c r="M26" t="s">
        <v>3016</v>
      </c>
      <c r="N26" t="s">
        <v>3016</v>
      </c>
      <c r="O26" t="s">
        <v>3016</v>
      </c>
      <c r="P26" t="s">
        <v>3016</v>
      </c>
      <c r="Q26" t="s">
        <v>3016</v>
      </c>
    </row>
    <row r="27" spans="2:17" x14ac:dyDescent="0.2">
      <c r="B27" t="s">
        <v>3167</v>
      </c>
      <c r="C27" t="s">
        <v>3156</v>
      </c>
      <c r="D27">
        <v>1</v>
      </c>
      <c r="E27" t="s">
        <v>3019</v>
      </c>
      <c r="J27" t="s">
        <v>3016</v>
      </c>
      <c r="K27" t="s">
        <v>3016</v>
      </c>
      <c r="L27" t="s">
        <v>3016</v>
      </c>
      <c r="M27" t="s">
        <v>3016</v>
      </c>
    </row>
    <row r="28" spans="2:17" x14ac:dyDescent="0.2">
      <c r="B28" t="s">
        <v>3168</v>
      </c>
      <c r="C28" t="s">
        <v>3147</v>
      </c>
      <c r="D28">
        <v>6</v>
      </c>
      <c r="E28" t="s">
        <v>3131</v>
      </c>
      <c r="K28" t="s">
        <v>3016</v>
      </c>
      <c r="L28" t="s">
        <v>3016</v>
      </c>
      <c r="M28" t="s">
        <v>3016</v>
      </c>
      <c r="N28" t="s">
        <v>3016</v>
      </c>
    </row>
    <row r="29" spans="2:17" x14ac:dyDescent="0.2">
      <c r="B29" t="s">
        <v>3169</v>
      </c>
      <c r="C29" t="s">
        <v>3147</v>
      </c>
      <c r="D29">
        <v>5</v>
      </c>
      <c r="E29" t="s">
        <v>3143</v>
      </c>
      <c r="K29" t="s">
        <v>3016</v>
      </c>
      <c r="L29" t="s">
        <v>3016</v>
      </c>
      <c r="M29" t="s">
        <v>3016</v>
      </c>
    </row>
    <row r="30" spans="2:17" x14ac:dyDescent="0.2">
      <c r="B30" t="s">
        <v>3170</v>
      </c>
      <c r="C30" t="s">
        <v>3171</v>
      </c>
      <c r="D30">
        <v>5</v>
      </c>
      <c r="E30" t="s">
        <v>3019</v>
      </c>
      <c r="F30" t="s">
        <v>3016</v>
      </c>
      <c r="G30" t="s">
        <v>3016</v>
      </c>
      <c r="H30" t="s">
        <v>3016</v>
      </c>
      <c r="I30" t="s">
        <v>3016</v>
      </c>
      <c r="J30" t="s">
        <v>3016</v>
      </c>
      <c r="K30" t="s">
        <v>3016</v>
      </c>
      <c r="L30" t="s">
        <v>3016</v>
      </c>
      <c r="M30" t="s">
        <v>3016</v>
      </c>
      <c r="N30" t="s">
        <v>3016</v>
      </c>
      <c r="O30" t="s">
        <v>3016</v>
      </c>
      <c r="P30" t="s">
        <v>3016</v>
      </c>
      <c r="Q30" t="s">
        <v>3016</v>
      </c>
    </row>
    <row r="31" spans="2:17" x14ac:dyDescent="0.2">
      <c r="B31" t="s">
        <v>3172</v>
      </c>
      <c r="C31" t="s">
        <v>3130</v>
      </c>
      <c r="D31">
        <v>1</v>
      </c>
      <c r="E31" t="s">
        <v>3019</v>
      </c>
      <c r="F31" t="s">
        <v>3016</v>
      </c>
      <c r="G31" t="s">
        <v>3016</v>
      </c>
      <c r="H31" t="s">
        <v>3016</v>
      </c>
      <c r="I31" t="s">
        <v>3016</v>
      </c>
      <c r="J31" t="s">
        <v>3016</v>
      </c>
      <c r="K31" t="s">
        <v>3016</v>
      </c>
      <c r="L31" t="s">
        <v>3016</v>
      </c>
      <c r="M31" t="s">
        <v>3016</v>
      </c>
      <c r="N31" t="s">
        <v>3016</v>
      </c>
      <c r="O31" t="s">
        <v>3016</v>
      </c>
      <c r="P31" t="s">
        <v>3016</v>
      </c>
      <c r="Q31" t="s">
        <v>3016</v>
      </c>
    </row>
    <row r="32" spans="2:17" x14ac:dyDescent="0.2">
      <c r="B32" t="s">
        <v>3173</v>
      </c>
      <c r="C32" t="s">
        <v>3130</v>
      </c>
      <c r="D32">
        <v>1</v>
      </c>
      <c r="E32" t="s">
        <v>3143</v>
      </c>
      <c r="I32" t="s">
        <v>3016</v>
      </c>
      <c r="J32" t="s">
        <v>3016</v>
      </c>
      <c r="K32" t="s">
        <v>3016</v>
      </c>
      <c r="L32" t="s">
        <v>3016</v>
      </c>
      <c r="M32" t="s">
        <v>3016</v>
      </c>
      <c r="N32" t="s">
        <v>3016</v>
      </c>
      <c r="O32" t="s">
        <v>3016</v>
      </c>
      <c r="P32" t="s">
        <v>3016</v>
      </c>
    </row>
    <row r="33" spans="2:17" x14ac:dyDescent="0.2">
      <c r="B33" t="s">
        <v>3174</v>
      </c>
      <c r="C33" t="s">
        <v>3137</v>
      </c>
      <c r="D33" t="s">
        <v>3175</v>
      </c>
      <c r="E33" t="s">
        <v>3131</v>
      </c>
      <c r="J33" t="s">
        <v>3016</v>
      </c>
      <c r="K33" t="s">
        <v>3016</v>
      </c>
      <c r="L33" t="s">
        <v>3016</v>
      </c>
      <c r="M33" t="s">
        <v>3016</v>
      </c>
    </row>
    <row r="34" spans="2:17" x14ac:dyDescent="0.2">
      <c r="B34" t="s">
        <v>3176</v>
      </c>
      <c r="C34" t="s">
        <v>3137</v>
      </c>
      <c r="D34">
        <v>2</v>
      </c>
      <c r="E34" t="s">
        <v>3019</v>
      </c>
      <c r="F34" t="s">
        <v>3016</v>
      </c>
      <c r="G34" t="s">
        <v>3016</v>
      </c>
      <c r="H34" t="s">
        <v>3016</v>
      </c>
      <c r="I34" t="s">
        <v>3016</v>
      </c>
      <c r="J34" t="s">
        <v>3016</v>
      </c>
      <c r="K34" t="s">
        <v>3016</v>
      </c>
      <c r="L34" t="s">
        <v>3016</v>
      </c>
      <c r="M34" t="s">
        <v>3016</v>
      </c>
      <c r="N34" t="s">
        <v>3016</v>
      </c>
      <c r="O34" t="s">
        <v>3016</v>
      </c>
      <c r="P34" t="s">
        <v>3016</v>
      </c>
      <c r="Q34" t="s">
        <v>3016</v>
      </c>
    </row>
    <row r="35" spans="2:17" x14ac:dyDescent="0.2">
      <c r="B35" t="s">
        <v>3177</v>
      </c>
      <c r="C35" t="s">
        <v>3156</v>
      </c>
      <c r="D35">
        <v>1</v>
      </c>
      <c r="E35" t="s">
        <v>3019</v>
      </c>
      <c r="I35" t="s">
        <v>3016</v>
      </c>
      <c r="J35" t="s">
        <v>3016</v>
      </c>
      <c r="K35" t="s">
        <v>3016</v>
      </c>
      <c r="L35" t="s">
        <v>3016</v>
      </c>
      <c r="M35" t="s">
        <v>3016</v>
      </c>
    </row>
    <row r="36" spans="2:17" x14ac:dyDescent="0.2">
      <c r="B36" t="s">
        <v>3178</v>
      </c>
      <c r="C36" t="s">
        <v>3130</v>
      </c>
      <c r="D36">
        <v>6</v>
      </c>
      <c r="E36" t="s">
        <v>3019</v>
      </c>
      <c r="N36" t="s">
        <v>3016</v>
      </c>
    </row>
    <row r="37" spans="2:17" x14ac:dyDescent="0.2">
      <c r="B37" t="s">
        <v>3179</v>
      </c>
      <c r="C37" t="s">
        <v>3130</v>
      </c>
      <c r="D37">
        <v>4</v>
      </c>
      <c r="E37" t="s">
        <v>3131</v>
      </c>
      <c r="F37" t="s">
        <v>3016</v>
      </c>
      <c r="G37" t="s">
        <v>3016</v>
      </c>
      <c r="H37" t="s">
        <v>3016</v>
      </c>
      <c r="I37" t="s">
        <v>3016</v>
      </c>
      <c r="J37" t="s">
        <v>3016</v>
      </c>
      <c r="K37" t="s">
        <v>3016</v>
      </c>
      <c r="L37" t="s">
        <v>3016</v>
      </c>
      <c r="M37" t="s">
        <v>3016</v>
      </c>
      <c r="N37" t="s">
        <v>3016</v>
      </c>
      <c r="O37" t="s">
        <v>3016</v>
      </c>
      <c r="P37" t="s">
        <v>3016</v>
      </c>
      <c r="Q37" t="s">
        <v>3016</v>
      </c>
    </row>
    <row r="38" spans="2:17" x14ac:dyDescent="0.2">
      <c r="B38" t="s">
        <v>3180</v>
      </c>
      <c r="C38" t="s">
        <v>3130</v>
      </c>
      <c r="D38">
        <v>2</v>
      </c>
      <c r="E38" t="s">
        <v>3019</v>
      </c>
      <c r="H38" t="s">
        <v>3016</v>
      </c>
      <c r="I38" t="s">
        <v>3016</v>
      </c>
      <c r="J38" t="s">
        <v>3016</v>
      </c>
    </row>
    <row r="39" spans="2:17" x14ac:dyDescent="0.2">
      <c r="B39" t="s">
        <v>3181</v>
      </c>
      <c r="C39" t="s">
        <v>3130</v>
      </c>
      <c r="D39">
        <v>2</v>
      </c>
      <c r="E39" t="s">
        <v>3182</v>
      </c>
      <c r="N39" t="s">
        <v>3016</v>
      </c>
      <c r="O39" t="s">
        <v>3016</v>
      </c>
      <c r="P39" t="s">
        <v>3016</v>
      </c>
    </row>
    <row r="40" spans="2:17" x14ac:dyDescent="0.2">
      <c r="B40" t="s">
        <v>3183</v>
      </c>
      <c r="C40" t="s">
        <v>3137</v>
      </c>
      <c r="D40">
        <v>5</v>
      </c>
      <c r="E40" t="s">
        <v>3184</v>
      </c>
      <c r="K40" t="s">
        <v>3016</v>
      </c>
      <c r="L40" t="s">
        <v>3016</v>
      </c>
      <c r="M40" t="s">
        <v>3016</v>
      </c>
      <c r="N40" t="s">
        <v>3016</v>
      </c>
      <c r="O40" t="s">
        <v>3016</v>
      </c>
    </row>
    <row r="41" spans="2:17" x14ac:dyDescent="0.2">
      <c r="B41" t="s">
        <v>3185</v>
      </c>
      <c r="C41" t="s">
        <v>3137</v>
      </c>
      <c r="D41">
        <v>6</v>
      </c>
      <c r="E41" t="s">
        <v>3162</v>
      </c>
      <c r="K41" t="s">
        <v>3016</v>
      </c>
      <c r="L41" t="s">
        <v>3016</v>
      </c>
      <c r="M41" t="s">
        <v>3016</v>
      </c>
    </row>
    <row r="42" spans="2:17" x14ac:dyDescent="0.2">
      <c r="B42" t="s">
        <v>3186</v>
      </c>
      <c r="C42" t="s">
        <v>3130</v>
      </c>
      <c r="D42">
        <v>1</v>
      </c>
      <c r="E42" t="s">
        <v>3143</v>
      </c>
      <c r="I42" t="s">
        <v>3016</v>
      </c>
      <c r="J42" t="s">
        <v>3016</v>
      </c>
      <c r="K42" t="s">
        <v>3016</v>
      </c>
      <c r="L42" t="s">
        <v>3016</v>
      </c>
      <c r="M42" t="s">
        <v>3016</v>
      </c>
      <c r="N42" t="s">
        <v>3016</v>
      </c>
      <c r="O42" t="s">
        <v>3016</v>
      </c>
      <c r="P42" t="s">
        <v>3016</v>
      </c>
    </row>
    <row r="43" spans="2:17" x14ac:dyDescent="0.2">
      <c r="B43" t="s">
        <v>3187</v>
      </c>
      <c r="C43" t="s">
        <v>3130</v>
      </c>
      <c r="D43">
        <v>2</v>
      </c>
      <c r="E43" t="s">
        <v>3143</v>
      </c>
      <c r="J43" t="s">
        <v>3016</v>
      </c>
      <c r="K43" t="s">
        <v>3016</v>
      </c>
      <c r="L43" t="s">
        <v>3016</v>
      </c>
      <c r="M43" t="s">
        <v>3016</v>
      </c>
      <c r="N43" t="s">
        <v>3016</v>
      </c>
    </row>
    <row r="44" spans="2:17" x14ac:dyDescent="0.2">
      <c r="B44" t="s">
        <v>3188</v>
      </c>
      <c r="C44" t="s">
        <v>3137</v>
      </c>
      <c r="D44">
        <v>6</v>
      </c>
      <c r="E44" t="s">
        <v>3019</v>
      </c>
      <c r="F44" t="s">
        <v>3016</v>
      </c>
      <c r="G44" t="s">
        <v>3016</v>
      </c>
      <c r="H44" t="s">
        <v>3016</v>
      </c>
      <c r="I44" t="s">
        <v>3016</v>
      </c>
      <c r="J44" t="s">
        <v>3016</v>
      </c>
      <c r="Q44" t="s">
        <v>3016</v>
      </c>
    </row>
    <row r="45" spans="2:17" x14ac:dyDescent="0.2">
      <c r="B45" t="s">
        <v>3189</v>
      </c>
      <c r="C45" t="s">
        <v>3137</v>
      </c>
      <c r="D45" t="s">
        <v>3175</v>
      </c>
      <c r="E45" t="s">
        <v>3162</v>
      </c>
      <c r="K45" t="s">
        <v>3016</v>
      </c>
      <c r="L45" t="s">
        <v>3016</v>
      </c>
      <c r="M45" t="s">
        <v>3016</v>
      </c>
      <c r="N45" t="s">
        <v>3016</v>
      </c>
    </row>
    <row r="46" spans="2:17" x14ac:dyDescent="0.2">
      <c r="B46" t="s">
        <v>3190</v>
      </c>
      <c r="C46" t="s">
        <v>3137</v>
      </c>
      <c r="D46">
        <v>4</v>
      </c>
      <c r="E46" t="s">
        <v>3019</v>
      </c>
      <c r="F46" t="s">
        <v>3016</v>
      </c>
      <c r="G46" t="s">
        <v>3016</v>
      </c>
      <c r="H46" t="s">
        <v>3016</v>
      </c>
      <c r="I46" t="s">
        <v>3016</v>
      </c>
      <c r="J46" t="s">
        <v>3016</v>
      </c>
      <c r="K46" t="s">
        <v>3016</v>
      </c>
      <c r="L46" t="s">
        <v>3016</v>
      </c>
      <c r="M46" t="s">
        <v>3016</v>
      </c>
      <c r="N46" t="s">
        <v>3016</v>
      </c>
      <c r="O46" t="s">
        <v>3016</v>
      </c>
      <c r="P46" t="s">
        <v>3016</v>
      </c>
      <c r="Q46" t="s">
        <v>3016</v>
      </c>
    </row>
    <row r="47" spans="2:17" x14ac:dyDescent="0.2">
      <c r="B47" t="s">
        <v>3191</v>
      </c>
      <c r="C47" t="s">
        <v>3130</v>
      </c>
      <c r="D47">
        <v>1</v>
      </c>
      <c r="E47" t="s">
        <v>3143</v>
      </c>
      <c r="F47" t="s">
        <v>3016</v>
      </c>
      <c r="G47" t="s">
        <v>3016</v>
      </c>
      <c r="H47" t="s">
        <v>3016</v>
      </c>
      <c r="I47" t="s">
        <v>3016</v>
      </c>
      <c r="J47" t="s">
        <v>3016</v>
      </c>
      <c r="K47" t="s">
        <v>3016</v>
      </c>
      <c r="L47" t="s">
        <v>3016</v>
      </c>
      <c r="M47" t="s">
        <v>3016</v>
      </c>
      <c r="N47" t="s">
        <v>3016</v>
      </c>
      <c r="O47" t="s">
        <v>3016</v>
      </c>
      <c r="P47" t="s">
        <v>3016</v>
      </c>
      <c r="Q47" t="s">
        <v>3016</v>
      </c>
    </row>
    <row r="48" spans="2:17" x14ac:dyDescent="0.2">
      <c r="B48" t="s">
        <v>3192</v>
      </c>
      <c r="C48" t="s">
        <v>3130</v>
      </c>
      <c r="D48">
        <v>5</v>
      </c>
      <c r="E48" t="s">
        <v>3162</v>
      </c>
      <c r="N48" t="s">
        <v>3016</v>
      </c>
      <c r="O48" t="s">
        <v>3016</v>
      </c>
      <c r="P48" t="s">
        <v>3016</v>
      </c>
      <c r="Q48" t="s">
        <v>3016</v>
      </c>
    </row>
    <row r="49" spans="2:17" x14ac:dyDescent="0.2">
      <c r="B49" t="s">
        <v>3193</v>
      </c>
      <c r="C49" t="s">
        <v>3130</v>
      </c>
      <c r="D49">
        <v>2</v>
      </c>
      <c r="E49" t="s">
        <v>3194</v>
      </c>
      <c r="K49" t="s">
        <v>3016</v>
      </c>
      <c r="L49" t="s">
        <v>3016</v>
      </c>
      <c r="M49" t="s">
        <v>3016</v>
      </c>
      <c r="N49" t="s">
        <v>3016</v>
      </c>
    </row>
    <row r="50" spans="2:17" x14ac:dyDescent="0.2">
      <c r="B50" t="s">
        <v>3195</v>
      </c>
      <c r="C50" t="s">
        <v>3130</v>
      </c>
      <c r="D50">
        <v>2</v>
      </c>
      <c r="E50" t="s">
        <v>3131</v>
      </c>
      <c r="F50" t="s">
        <v>3016</v>
      </c>
      <c r="G50" t="s">
        <v>3016</v>
      </c>
      <c r="Q50" t="s">
        <v>3016</v>
      </c>
    </row>
    <row r="51" spans="2:17" x14ac:dyDescent="0.2">
      <c r="B51" t="s">
        <v>3196</v>
      </c>
      <c r="C51" t="s">
        <v>3130</v>
      </c>
      <c r="D51">
        <v>2</v>
      </c>
      <c r="E51" t="s">
        <v>3143</v>
      </c>
      <c r="F51" t="s">
        <v>3016</v>
      </c>
      <c r="G51" t="s">
        <v>3016</v>
      </c>
      <c r="H51" t="s">
        <v>3016</v>
      </c>
      <c r="I51" t="s">
        <v>3016</v>
      </c>
      <c r="J51" t="s">
        <v>3016</v>
      </c>
      <c r="K51" t="s">
        <v>3016</v>
      </c>
      <c r="L51" t="s">
        <v>3016</v>
      </c>
      <c r="M51" t="s">
        <v>3016</v>
      </c>
      <c r="N51" t="s">
        <v>3016</v>
      </c>
      <c r="O51" t="s">
        <v>3016</v>
      </c>
      <c r="P51" t="s">
        <v>3016</v>
      </c>
      <c r="Q51" t="s">
        <v>3016</v>
      </c>
    </row>
    <row r="52" spans="2:17" x14ac:dyDescent="0.2">
      <c r="B52" t="s">
        <v>3197</v>
      </c>
      <c r="C52" t="s">
        <v>3137</v>
      </c>
      <c r="D52">
        <v>3</v>
      </c>
      <c r="E52" t="s">
        <v>3131</v>
      </c>
      <c r="K52" t="s">
        <v>3016</v>
      </c>
      <c r="L52" t="s">
        <v>3016</v>
      </c>
      <c r="M52" t="s">
        <v>3016</v>
      </c>
      <c r="N52" t="s">
        <v>3016</v>
      </c>
    </row>
    <row r="53" spans="2:17" x14ac:dyDescent="0.2">
      <c r="B53" t="s">
        <v>3198</v>
      </c>
      <c r="C53" t="s">
        <v>3130</v>
      </c>
      <c r="D53">
        <v>4</v>
      </c>
      <c r="E53" t="s">
        <v>3019</v>
      </c>
      <c r="H53" t="s">
        <v>3016</v>
      </c>
      <c r="I53" t="s">
        <v>3016</v>
      </c>
      <c r="J53" t="s">
        <v>3016</v>
      </c>
      <c r="K53" t="s">
        <v>3016</v>
      </c>
      <c r="N53" t="s">
        <v>3016</v>
      </c>
      <c r="O53" t="s">
        <v>3016</v>
      </c>
      <c r="P53" t="s">
        <v>3016</v>
      </c>
    </row>
    <row r="54" spans="2:17" x14ac:dyDescent="0.2">
      <c r="B54" t="s">
        <v>3199</v>
      </c>
      <c r="C54" t="s">
        <v>3200</v>
      </c>
      <c r="D54">
        <v>5</v>
      </c>
      <c r="E54" t="s">
        <v>3162</v>
      </c>
      <c r="K54" t="s">
        <v>3016</v>
      </c>
      <c r="L54" t="s">
        <v>3016</v>
      </c>
      <c r="M54" t="s">
        <v>3016</v>
      </c>
      <c r="N54" t="s">
        <v>3016</v>
      </c>
      <c r="O54" t="s">
        <v>3016</v>
      </c>
      <c r="P54" t="s">
        <v>3016</v>
      </c>
    </row>
    <row r="55" spans="2:17" x14ac:dyDescent="0.2">
      <c r="B55" t="s">
        <v>3201</v>
      </c>
      <c r="C55" t="s">
        <v>3137</v>
      </c>
      <c r="D55">
        <v>3</v>
      </c>
      <c r="E55" t="s">
        <v>3019</v>
      </c>
      <c r="F55" t="s">
        <v>3016</v>
      </c>
      <c r="G55" t="s">
        <v>3016</v>
      </c>
      <c r="H55" t="s">
        <v>3016</v>
      </c>
      <c r="I55" t="s">
        <v>3016</v>
      </c>
      <c r="J55" t="s">
        <v>3016</v>
      </c>
      <c r="K55" t="s">
        <v>3016</v>
      </c>
      <c r="L55" t="s">
        <v>3016</v>
      </c>
      <c r="M55" t="s">
        <v>3016</v>
      </c>
      <c r="N55" t="s">
        <v>3016</v>
      </c>
      <c r="O55" t="s">
        <v>3016</v>
      </c>
      <c r="P55" t="s">
        <v>3016</v>
      </c>
      <c r="Q55" t="s">
        <v>3016</v>
      </c>
    </row>
    <row r="56" spans="2:17" x14ac:dyDescent="0.2">
      <c r="B56" t="s">
        <v>3202</v>
      </c>
      <c r="C56" t="s">
        <v>3171</v>
      </c>
      <c r="D56" t="s">
        <v>3164</v>
      </c>
      <c r="E56" t="s">
        <v>3019</v>
      </c>
      <c r="F56" t="s">
        <v>3016</v>
      </c>
      <c r="G56" t="s">
        <v>3016</v>
      </c>
      <c r="H56" t="s">
        <v>3016</v>
      </c>
      <c r="I56" t="s">
        <v>3016</v>
      </c>
      <c r="J56" t="s">
        <v>3016</v>
      </c>
      <c r="K56" t="s">
        <v>3016</v>
      </c>
      <c r="L56" t="s">
        <v>3016</v>
      </c>
      <c r="M56" t="s">
        <v>3016</v>
      </c>
      <c r="N56" t="s">
        <v>3016</v>
      </c>
      <c r="O56" t="s">
        <v>3016</v>
      </c>
      <c r="P56" t="s">
        <v>3016</v>
      </c>
      <c r="Q56" t="s">
        <v>3016</v>
      </c>
    </row>
    <row r="57" spans="2:17" x14ac:dyDescent="0.2">
      <c r="B57" t="s">
        <v>3203</v>
      </c>
      <c r="C57" t="s">
        <v>3130</v>
      </c>
      <c r="D57">
        <v>4</v>
      </c>
      <c r="E57" t="s">
        <v>3204</v>
      </c>
      <c r="K57" t="s">
        <v>3016</v>
      </c>
      <c r="L57" t="s">
        <v>3016</v>
      </c>
      <c r="M57" t="s">
        <v>3016</v>
      </c>
      <c r="N57" t="s">
        <v>3016</v>
      </c>
    </row>
    <row r="58" spans="2:17" x14ac:dyDescent="0.2">
      <c r="B58" t="s">
        <v>3205</v>
      </c>
      <c r="C58" t="s">
        <v>3130</v>
      </c>
      <c r="D58">
        <v>4</v>
      </c>
      <c r="E58" t="s">
        <v>3019</v>
      </c>
      <c r="N58" t="s">
        <v>3016</v>
      </c>
    </row>
    <row r="59" spans="2:17" x14ac:dyDescent="0.2">
      <c r="B59" t="s">
        <v>3206</v>
      </c>
      <c r="C59" t="s">
        <v>3137</v>
      </c>
      <c r="D59" t="s">
        <v>3175</v>
      </c>
      <c r="E59" t="s">
        <v>3131</v>
      </c>
      <c r="K59" t="s">
        <v>3016</v>
      </c>
      <c r="L59" t="s">
        <v>3016</v>
      </c>
      <c r="M59" t="s">
        <v>3016</v>
      </c>
      <c r="N59" t="s">
        <v>3016</v>
      </c>
    </row>
    <row r="60" spans="2:17" x14ac:dyDescent="0.2">
      <c r="B60" t="s">
        <v>3207</v>
      </c>
      <c r="C60" t="s">
        <v>3137</v>
      </c>
      <c r="D60">
        <v>5</v>
      </c>
      <c r="E60" t="s">
        <v>3019</v>
      </c>
      <c r="F60" t="s">
        <v>3016</v>
      </c>
      <c r="G60" t="s">
        <v>3016</v>
      </c>
      <c r="H60" t="s">
        <v>3016</v>
      </c>
      <c r="I60" t="s">
        <v>3016</v>
      </c>
      <c r="J60" t="s">
        <v>3016</v>
      </c>
      <c r="K60" t="s">
        <v>3016</v>
      </c>
      <c r="L60" t="s">
        <v>3016</v>
      </c>
      <c r="M60" t="s">
        <v>3016</v>
      </c>
      <c r="N60" t="s">
        <v>3016</v>
      </c>
      <c r="O60" t="s">
        <v>3016</v>
      </c>
      <c r="P60" t="s">
        <v>3016</v>
      </c>
      <c r="Q60" t="s">
        <v>3016</v>
      </c>
    </row>
    <row r="61" spans="2:17" x14ac:dyDescent="0.2">
      <c r="B61" t="s">
        <v>3208</v>
      </c>
      <c r="C61" t="s">
        <v>3137</v>
      </c>
      <c r="D61">
        <v>1</v>
      </c>
      <c r="E61" t="s">
        <v>3019</v>
      </c>
      <c r="F61" t="s">
        <v>3016</v>
      </c>
      <c r="G61" t="s">
        <v>3016</v>
      </c>
      <c r="Q61" t="s">
        <v>3016</v>
      </c>
    </row>
    <row r="62" spans="2:17" x14ac:dyDescent="0.2">
      <c r="B62" t="s">
        <v>3209</v>
      </c>
      <c r="C62" t="s">
        <v>3137</v>
      </c>
      <c r="D62">
        <v>1</v>
      </c>
      <c r="E62" t="s">
        <v>3019</v>
      </c>
      <c r="I62" t="s">
        <v>3016</v>
      </c>
      <c r="J62" t="s">
        <v>3016</v>
      </c>
      <c r="K62" t="s">
        <v>3016</v>
      </c>
      <c r="L62" t="s">
        <v>3016</v>
      </c>
      <c r="M62" t="s">
        <v>3016</v>
      </c>
      <c r="N62" t="s">
        <v>3016</v>
      </c>
      <c r="O62" t="s">
        <v>3016</v>
      </c>
      <c r="P62" t="s">
        <v>3016</v>
      </c>
    </row>
    <row r="63" spans="2:17" x14ac:dyDescent="0.2">
      <c r="B63" t="s">
        <v>3210</v>
      </c>
      <c r="C63" t="s">
        <v>3137</v>
      </c>
      <c r="D63" t="s">
        <v>3175</v>
      </c>
      <c r="E63" t="s">
        <v>3131</v>
      </c>
      <c r="K63" t="s">
        <v>3016</v>
      </c>
      <c r="L63" t="s">
        <v>3016</v>
      </c>
      <c r="M63" t="s">
        <v>3016</v>
      </c>
      <c r="N63" t="s">
        <v>3016</v>
      </c>
    </row>
    <row r="64" spans="2:17" x14ac:dyDescent="0.2">
      <c r="B64" t="s">
        <v>3211</v>
      </c>
      <c r="C64" t="s">
        <v>3130</v>
      </c>
      <c r="D64">
        <v>3</v>
      </c>
      <c r="E64" t="s">
        <v>3131</v>
      </c>
      <c r="M64" t="s">
        <v>3016</v>
      </c>
      <c r="N64" t="s">
        <v>3016</v>
      </c>
    </row>
    <row r="65" spans="2:17" x14ac:dyDescent="0.2">
      <c r="B65" t="s">
        <v>3212</v>
      </c>
      <c r="C65" t="s">
        <v>3137</v>
      </c>
      <c r="D65">
        <v>3</v>
      </c>
      <c r="E65" t="s">
        <v>3019</v>
      </c>
      <c r="F65" t="s">
        <v>3016</v>
      </c>
      <c r="G65" t="s">
        <v>3016</v>
      </c>
      <c r="H65" t="s">
        <v>3016</v>
      </c>
      <c r="I65" t="s">
        <v>3016</v>
      </c>
      <c r="J65" t="s">
        <v>3016</v>
      </c>
      <c r="K65" t="s">
        <v>3016</v>
      </c>
      <c r="L65" t="s">
        <v>3016</v>
      </c>
      <c r="M65" t="s">
        <v>3016</v>
      </c>
      <c r="Q65" t="s">
        <v>3016</v>
      </c>
    </row>
    <row r="66" spans="2:17" x14ac:dyDescent="0.2">
      <c r="B66" t="s">
        <v>3213</v>
      </c>
      <c r="C66" t="s">
        <v>3130</v>
      </c>
      <c r="D66">
        <v>6</v>
      </c>
      <c r="E66" t="s">
        <v>3131</v>
      </c>
      <c r="F66" t="s">
        <v>3016</v>
      </c>
      <c r="G66" t="s">
        <v>3016</v>
      </c>
      <c r="Q66" t="s">
        <v>3016</v>
      </c>
    </row>
    <row r="67" spans="2:17" x14ac:dyDescent="0.2">
      <c r="B67" t="s">
        <v>3214</v>
      </c>
      <c r="C67" t="s">
        <v>3137</v>
      </c>
      <c r="D67">
        <v>2</v>
      </c>
      <c r="E67" t="s">
        <v>3019</v>
      </c>
      <c r="I67" t="s">
        <v>3016</v>
      </c>
      <c r="J67" t="s">
        <v>3016</v>
      </c>
      <c r="K67" t="s">
        <v>3016</v>
      </c>
      <c r="L67" t="s">
        <v>3016</v>
      </c>
      <c r="M67" t="s">
        <v>3016</v>
      </c>
      <c r="N67" t="s">
        <v>3016</v>
      </c>
    </row>
    <row r="68" spans="2:17" x14ac:dyDescent="0.2">
      <c r="B68" t="s">
        <v>3215</v>
      </c>
      <c r="C68" t="s">
        <v>3130</v>
      </c>
      <c r="D68">
        <v>3</v>
      </c>
      <c r="E68" t="s">
        <v>3157</v>
      </c>
      <c r="L68" t="s">
        <v>3016</v>
      </c>
      <c r="M68" t="s">
        <v>3016</v>
      </c>
      <c r="N68" t="s">
        <v>3016</v>
      </c>
    </row>
    <row r="69" spans="2:17" x14ac:dyDescent="0.2">
      <c r="B69" t="s">
        <v>3216</v>
      </c>
      <c r="C69" t="s">
        <v>3156</v>
      </c>
      <c r="D69">
        <v>1</v>
      </c>
      <c r="E69" t="s">
        <v>3019</v>
      </c>
      <c r="H69" t="s">
        <v>3016</v>
      </c>
      <c r="I69" t="s">
        <v>3016</v>
      </c>
      <c r="J69" t="s">
        <v>3016</v>
      </c>
      <c r="K69" t="s">
        <v>3016</v>
      </c>
      <c r="L69" t="s">
        <v>3016</v>
      </c>
    </row>
    <row r="70" spans="2:17" x14ac:dyDescent="0.2">
      <c r="B70" t="s">
        <v>3217</v>
      </c>
      <c r="C70" t="s">
        <v>3137</v>
      </c>
      <c r="D70">
        <v>6</v>
      </c>
      <c r="E70" t="s">
        <v>3019</v>
      </c>
      <c r="F70" t="s">
        <v>3016</v>
      </c>
      <c r="G70" t="s">
        <v>3016</v>
      </c>
      <c r="H70" t="s">
        <v>3016</v>
      </c>
    </row>
    <row r="71" spans="2:17" x14ac:dyDescent="0.2">
      <c r="B71" t="s">
        <v>3218</v>
      </c>
      <c r="C71" t="s">
        <v>3171</v>
      </c>
      <c r="D71" t="s">
        <v>3175</v>
      </c>
      <c r="E71" t="s">
        <v>3019</v>
      </c>
      <c r="F71" t="s">
        <v>3016</v>
      </c>
      <c r="G71" t="s">
        <v>3016</v>
      </c>
      <c r="H71" t="s">
        <v>3016</v>
      </c>
      <c r="I71" t="s">
        <v>3016</v>
      </c>
      <c r="J71" t="s">
        <v>3016</v>
      </c>
      <c r="K71" t="s">
        <v>3016</v>
      </c>
      <c r="L71" t="s">
        <v>3016</v>
      </c>
      <c r="M71" t="s">
        <v>3016</v>
      </c>
      <c r="N71" t="s">
        <v>3016</v>
      </c>
      <c r="O71" t="s">
        <v>3016</v>
      </c>
      <c r="P71" t="s">
        <v>3016</v>
      </c>
      <c r="Q71" t="s">
        <v>3016</v>
      </c>
    </row>
    <row r="72" spans="2:17" x14ac:dyDescent="0.2">
      <c r="B72" t="s">
        <v>3219</v>
      </c>
      <c r="C72" t="s">
        <v>3130</v>
      </c>
      <c r="D72">
        <v>3</v>
      </c>
      <c r="E72" t="s">
        <v>3019</v>
      </c>
      <c r="F72" t="s">
        <v>3016</v>
      </c>
      <c r="G72" t="s">
        <v>3016</v>
      </c>
      <c r="H72" t="s">
        <v>3016</v>
      </c>
      <c r="O72" t="s">
        <v>3016</v>
      </c>
      <c r="P72" t="s">
        <v>3016</v>
      </c>
      <c r="Q72" t="s">
        <v>3016</v>
      </c>
    </row>
    <row r="73" spans="2:17" x14ac:dyDescent="0.2">
      <c r="B73" t="s">
        <v>3220</v>
      </c>
      <c r="C73" t="s">
        <v>3137</v>
      </c>
      <c r="D73">
        <v>3</v>
      </c>
      <c r="E73" t="s">
        <v>3019</v>
      </c>
      <c r="I73" t="s">
        <v>3016</v>
      </c>
      <c r="J73" t="s">
        <v>3016</v>
      </c>
      <c r="K73" t="s">
        <v>3016</v>
      </c>
      <c r="L73" t="s">
        <v>3016</v>
      </c>
      <c r="M73" t="s">
        <v>3016</v>
      </c>
      <c r="N73" t="s">
        <v>3016</v>
      </c>
      <c r="O73" t="s">
        <v>3016</v>
      </c>
      <c r="P73" t="s">
        <v>3016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  <col min="3" max="4" width="11.6640625" customWidth="1"/>
    <col min="5" max="16" width="6.33203125" customWidth="1"/>
  </cols>
  <sheetData>
    <row r="1" spans="1:16" x14ac:dyDescent="0.2">
      <c r="A1" s="1" t="s">
        <v>2932</v>
      </c>
      <c r="B1" s="1" t="s">
        <v>2933</v>
      </c>
      <c r="C1" s="1" t="s">
        <v>3221</v>
      </c>
      <c r="D1" s="1" t="s">
        <v>3222</v>
      </c>
      <c r="E1" s="1" t="s">
        <v>3002</v>
      </c>
      <c r="F1" s="1" t="s">
        <v>3003</v>
      </c>
      <c r="G1" s="1" t="s">
        <v>3004</v>
      </c>
      <c r="H1" s="1" t="s">
        <v>3005</v>
      </c>
      <c r="I1" s="1" t="s">
        <v>43</v>
      </c>
      <c r="J1" s="1" t="s">
        <v>3006</v>
      </c>
      <c r="K1" s="1" t="s">
        <v>3007</v>
      </c>
      <c r="L1" s="1" t="s">
        <v>3008</v>
      </c>
      <c r="M1" s="1" t="s">
        <v>3009</v>
      </c>
      <c r="N1" s="1" t="s">
        <v>3010</v>
      </c>
      <c r="O1" s="1" t="s">
        <v>3011</v>
      </c>
      <c r="P1" s="1" t="s">
        <v>3012</v>
      </c>
    </row>
    <row r="2" spans="1:16" x14ac:dyDescent="0.2">
      <c r="B2" t="s">
        <v>3223</v>
      </c>
      <c r="C2" t="s">
        <v>3224</v>
      </c>
      <c r="D2" t="s">
        <v>3131</v>
      </c>
      <c r="E2" t="s">
        <v>3016</v>
      </c>
      <c r="F2" t="s">
        <v>3016</v>
      </c>
      <c r="G2" t="s">
        <v>3016</v>
      </c>
      <c r="H2" t="s">
        <v>3016</v>
      </c>
      <c r="I2" t="s">
        <v>3016</v>
      </c>
      <c r="J2" t="s">
        <v>3016</v>
      </c>
      <c r="K2" t="s">
        <v>3016</v>
      </c>
      <c r="L2" t="s">
        <v>3016</v>
      </c>
      <c r="M2" t="s">
        <v>3016</v>
      </c>
      <c r="N2" t="s">
        <v>3016</v>
      </c>
      <c r="O2" t="s">
        <v>3016</v>
      </c>
      <c r="P2" t="s">
        <v>3016</v>
      </c>
    </row>
    <row r="3" spans="1:16" x14ac:dyDescent="0.2">
      <c r="B3" t="s">
        <v>3225</v>
      </c>
      <c r="C3" t="s">
        <v>3226</v>
      </c>
      <c r="D3" t="s">
        <v>3019</v>
      </c>
      <c r="E3" t="s">
        <v>3016</v>
      </c>
      <c r="F3" t="s">
        <v>3016</v>
      </c>
      <c r="G3" t="s">
        <v>3016</v>
      </c>
      <c r="H3" t="s">
        <v>3016</v>
      </c>
      <c r="I3" t="s">
        <v>3016</v>
      </c>
      <c r="J3" t="s">
        <v>3016</v>
      </c>
      <c r="K3" t="s">
        <v>3016</v>
      </c>
      <c r="L3" t="s">
        <v>3016</v>
      </c>
      <c r="M3" t="s">
        <v>3016</v>
      </c>
      <c r="N3" t="s">
        <v>3016</v>
      </c>
      <c r="O3" t="s">
        <v>3016</v>
      </c>
      <c r="P3" t="s">
        <v>3016</v>
      </c>
    </row>
    <row r="4" spans="1:16" x14ac:dyDescent="0.2">
      <c r="B4" t="s">
        <v>3227</v>
      </c>
      <c r="C4" t="s">
        <v>3224</v>
      </c>
      <c r="D4" t="s">
        <v>3019</v>
      </c>
      <c r="E4" t="s">
        <v>3016</v>
      </c>
      <c r="F4" t="s">
        <v>3016</v>
      </c>
      <c r="G4" t="s">
        <v>3016</v>
      </c>
      <c r="H4" t="s">
        <v>3016</v>
      </c>
      <c r="I4" t="s">
        <v>3016</v>
      </c>
      <c r="J4" t="s">
        <v>3016</v>
      </c>
      <c r="K4" t="s">
        <v>3016</v>
      </c>
      <c r="L4" t="s">
        <v>3016</v>
      </c>
      <c r="M4" t="s">
        <v>3016</v>
      </c>
      <c r="N4" t="s">
        <v>3016</v>
      </c>
      <c r="O4" t="s">
        <v>3016</v>
      </c>
      <c r="P4" t="s">
        <v>3016</v>
      </c>
    </row>
    <row r="5" spans="1:16" x14ac:dyDescent="0.2">
      <c r="B5" t="s">
        <v>3228</v>
      </c>
      <c r="C5" t="s">
        <v>3229</v>
      </c>
      <c r="D5" t="s">
        <v>3019</v>
      </c>
      <c r="E5" t="s">
        <v>3016</v>
      </c>
      <c r="F5" t="s">
        <v>3016</v>
      </c>
      <c r="G5" t="s">
        <v>3016</v>
      </c>
      <c r="H5" t="s">
        <v>3016</v>
      </c>
      <c r="M5" t="s">
        <v>3016</v>
      </c>
      <c r="N5" t="s">
        <v>3016</v>
      </c>
      <c r="O5" t="s">
        <v>3016</v>
      </c>
      <c r="P5" t="s">
        <v>3016</v>
      </c>
    </row>
    <row r="6" spans="1:16" x14ac:dyDescent="0.2">
      <c r="B6" t="s">
        <v>3230</v>
      </c>
      <c r="C6" t="s">
        <v>3229</v>
      </c>
      <c r="D6" t="s">
        <v>3131</v>
      </c>
      <c r="E6" t="s">
        <v>3016</v>
      </c>
      <c r="F6" t="s">
        <v>3016</v>
      </c>
      <c r="G6" t="s">
        <v>3016</v>
      </c>
      <c r="H6" t="s">
        <v>3016</v>
      </c>
      <c r="I6" t="s">
        <v>3016</v>
      </c>
      <c r="J6" t="s">
        <v>3016</v>
      </c>
      <c r="K6" t="s">
        <v>3016</v>
      </c>
      <c r="L6" t="s">
        <v>3016</v>
      </c>
      <c r="M6" t="s">
        <v>3016</v>
      </c>
      <c r="N6" t="s">
        <v>3016</v>
      </c>
      <c r="O6" t="s">
        <v>3016</v>
      </c>
      <c r="P6" t="s">
        <v>3016</v>
      </c>
    </row>
    <row r="7" spans="1:16" x14ac:dyDescent="0.2">
      <c r="B7" t="s">
        <v>3231</v>
      </c>
      <c r="C7" t="s">
        <v>3229</v>
      </c>
      <c r="D7" t="s">
        <v>3131</v>
      </c>
      <c r="J7" t="s">
        <v>3016</v>
      </c>
      <c r="K7" t="s">
        <v>3016</v>
      </c>
      <c r="L7" t="s">
        <v>3016</v>
      </c>
      <c r="M7" t="s">
        <v>3016</v>
      </c>
    </row>
    <row r="8" spans="1:16" x14ac:dyDescent="0.2">
      <c r="B8" t="s">
        <v>3232</v>
      </c>
      <c r="C8" t="s">
        <v>3224</v>
      </c>
      <c r="D8" t="s">
        <v>3019</v>
      </c>
      <c r="E8" t="s">
        <v>3016</v>
      </c>
      <c r="F8" t="s">
        <v>3016</v>
      </c>
      <c r="G8" t="s">
        <v>3016</v>
      </c>
      <c r="H8" t="s">
        <v>3016</v>
      </c>
      <c r="I8" t="s">
        <v>3016</v>
      </c>
      <c r="J8" t="s">
        <v>3016</v>
      </c>
      <c r="K8" t="s">
        <v>3016</v>
      </c>
      <c r="L8" t="s">
        <v>3016</v>
      </c>
      <c r="M8" t="s">
        <v>3016</v>
      </c>
      <c r="N8" t="s">
        <v>3016</v>
      </c>
      <c r="O8" t="s">
        <v>3016</v>
      </c>
      <c r="P8" t="s">
        <v>3016</v>
      </c>
    </row>
    <row r="9" spans="1:16" x14ac:dyDescent="0.2">
      <c r="B9" t="s">
        <v>3233</v>
      </c>
      <c r="C9" t="s">
        <v>3234</v>
      </c>
      <c r="D9" t="s">
        <v>3019</v>
      </c>
      <c r="G9" t="s">
        <v>3016</v>
      </c>
      <c r="H9" t="s">
        <v>3016</v>
      </c>
    </row>
    <row r="10" spans="1:16" x14ac:dyDescent="0.2">
      <c r="B10" t="s">
        <v>3235</v>
      </c>
      <c r="C10" t="s">
        <v>3224</v>
      </c>
      <c r="D10" t="s">
        <v>3019</v>
      </c>
      <c r="E10" t="s">
        <v>3016</v>
      </c>
      <c r="F10" t="s">
        <v>3016</v>
      </c>
      <c r="G10" t="s">
        <v>3016</v>
      </c>
      <c r="H10" t="s">
        <v>3016</v>
      </c>
      <c r="O10" t="s">
        <v>3016</v>
      </c>
      <c r="P10" t="s">
        <v>3016</v>
      </c>
    </row>
    <row r="11" spans="1:16" x14ac:dyDescent="0.2">
      <c r="B11" t="s">
        <v>3236</v>
      </c>
      <c r="C11" t="s">
        <v>3224</v>
      </c>
      <c r="D11" t="s">
        <v>3204</v>
      </c>
      <c r="K11" t="s">
        <v>3016</v>
      </c>
      <c r="L11" t="s">
        <v>3016</v>
      </c>
      <c r="M11" t="s">
        <v>3016</v>
      </c>
    </row>
    <row r="12" spans="1:16" x14ac:dyDescent="0.2">
      <c r="B12" t="s">
        <v>3237</v>
      </c>
      <c r="C12" t="s">
        <v>3238</v>
      </c>
      <c r="D12" t="s">
        <v>3019</v>
      </c>
      <c r="E12" t="s">
        <v>3016</v>
      </c>
      <c r="F12" t="s">
        <v>3016</v>
      </c>
      <c r="G12" t="s">
        <v>3016</v>
      </c>
      <c r="H12" t="s">
        <v>3016</v>
      </c>
      <c r="I12" t="s">
        <v>3016</v>
      </c>
      <c r="J12" t="s">
        <v>3016</v>
      </c>
      <c r="K12" t="s">
        <v>3016</v>
      </c>
      <c r="L12" t="s">
        <v>3016</v>
      </c>
      <c r="M12" t="s">
        <v>3016</v>
      </c>
      <c r="N12" t="s">
        <v>3016</v>
      </c>
      <c r="O12" t="s">
        <v>3016</v>
      </c>
      <c r="P12" t="s">
        <v>3016</v>
      </c>
    </row>
    <row r="13" spans="1:16" x14ac:dyDescent="0.2">
      <c r="B13" t="s">
        <v>3239</v>
      </c>
      <c r="C13" t="s">
        <v>3229</v>
      </c>
      <c r="D13" t="s">
        <v>3131</v>
      </c>
      <c r="E13" t="s">
        <v>3016</v>
      </c>
      <c r="F13" t="s">
        <v>3016</v>
      </c>
      <c r="G13" t="s">
        <v>3016</v>
      </c>
      <c r="H13" t="s">
        <v>3016</v>
      </c>
      <c r="I13" t="s">
        <v>3016</v>
      </c>
      <c r="J13" t="s">
        <v>3016</v>
      </c>
      <c r="K13" t="s">
        <v>3016</v>
      </c>
      <c r="L13" t="s">
        <v>3016</v>
      </c>
      <c r="M13" t="s">
        <v>3016</v>
      </c>
      <c r="N13" t="s">
        <v>3016</v>
      </c>
      <c r="O13" t="s">
        <v>3016</v>
      </c>
      <c r="P13" t="s">
        <v>3016</v>
      </c>
    </row>
    <row r="14" spans="1:16" x14ac:dyDescent="0.2">
      <c r="B14" t="s">
        <v>3240</v>
      </c>
      <c r="C14" t="s">
        <v>3224</v>
      </c>
      <c r="D14" t="s">
        <v>3019</v>
      </c>
      <c r="E14" t="s">
        <v>3016</v>
      </c>
      <c r="G14" t="s">
        <v>3016</v>
      </c>
      <c r="H14" t="s">
        <v>3016</v>
      </c>
      <c r="I14" t="s">
        <v>3016</v>
      </c>
      <c r="J14" t="s">
        <v>3016</v>
      </c>
      <c r="K14" t="s">
        <v>3016</v>
      </c>
      <c r="M14" t="s">
        <v>3016</v>
      </c>
      <c r="N14" t="s">
        <v>3016</v>
      </c>
      <c r="O14" t="s">
        <v>3016</v>
      </c>
      <c r="P14" t="s">
        <v>3016</v>
      </c>
    </row>
    <row r="15" spans="1:16" x14ac:dyDescent="0.2">
      <c r="B15" t="s">
        <v>3241</v>
      </c>
      <c r="C15" t="s">
        <v>3229</v>
      </c>
      <c r="D15" t="s">
        <v>3019</v>
      </c>
      <c r="E15" t="s">
        <v>3016</v>
      </c>
      <c r="F15" t="s">
        <v>3016</v>
      </c>
      <c r="M15" t="s">
        <v>3016</v>
      </c>
      <c r="N15" t="s">
        <v>3016</v>
      </c>
      <c r="O15" t="s">
        <v>3016</v>
      </c>
      <c r="P15" t="s">
        <v>3016</v>
      </c>
    </row>
    <row r="16" spans="1:16" x14ac:dyDescent="0.2">
      <c r="B16" t="s">
        <v>3242</v>
      </c>
      <c r="C16" t="s">
        <v>3229</v>
      </c>
      <c r="D16" t="s">
        <v>3019</v>
      </c>
      <c r="E16" t="s">
        <v>3016</v>
      </c>
      <c r="F16" t="s">
        <v>3016</v>
      </c>
      <c r="G16" t="s">
        <v>3016</v>
      </c>
      <c r="H16" t="s">
        <v>3016</v>
      </c>
      <c r="I16" t="s">
        <v>3016</v>
      </c>
      <c r="J16" t="s">
        <v>3016</v>
      </c>
      <c r="K16" t="s">
        <v>3016</v>
      </c>
      <c r="L16" t="s">
        <v>3016</v>
      </c>
      <c r="M16" t="s">
        <v>3016</v>
      </c>
      <c r="N16" t="s">
        <v>3016</v>
      </c>
      <c r="O16" t="s">
        <v>3016</v>
      </c>
      <c r="P16" t="s">
        <v>3016</v>
      </c>
    </row>
    <row r="17" spans="2:16" x14ac:dyDescent="0.2">
      <c r="B17" t="s">
        <v>3243</v>
      </c>
      <c r="C17" t="s">
        <v>3238</v>
      </c>
      <c r="D17" t="s">
        <v>3019</v>
      </c>
      <c r="E17" t="s">
        <v>3016</v>
      </c>
      <c r="F17" t="s">
        <v>3016</v>
      </c>
      <c r="G17" t="s">
        <v>3016</v>
      </c>
      <c r="O17" t="s">
        <v>3016</v>
      </c>
      <c r="P17" t="s">
        <v>3016</v>
      </c>
    </row>
    <row r="18" spans="2:16" x14ac:dyDescent="0.2">
      <c r="B18" t="s">
        <v>3244</v>
      </c>
      <c r="C18" t="s">
        <v>3238</v>
      </c>
      <c r="D18" t="s">
        <v>3131</v>
      </c>
      <c r="M18" t="s">
        <v>3016</v>
      </c>
      <c r="N18" t="s">
        <v>3016</v>
      </c>
      <c r="O18" t="s">
        <v>3016</v>
      </c>
      <c r="P18" t="s">
        <v>3016</v>
      </c>
    </row>
    <row r="19" spans="2:16" x14ac:dyDescent="0.2">
      <c r="B19" t="s">
        <v>3245</v>
      </c>
      <c r="C19" t="s">
        <v>3224</v>
      </c>
      <c r="D19" t="s">
        <v>3019</v>
      </c>
      <c r="E19" t="s">
        <v>3016</v>
      </c>
      <c r="F19" t="s">
        <v>3016</v>
      </c>
      <c r="G19" t="s">
        <v>3016</v>
      </c>
      <c r="H19" t="s">
        <v>3016</v>
      </c>
      <c r="I19" t="s">
        <v>3016</v>
      </c>
      <c r="J19" t="s">
        <v>3016</v>
      </c>
      <c r="K19" t="s">
        <v>3016</v>
      </c>
      <c r="L19" t="s">
        <v>3016</v>
      </c>
      <c r="M19" t="s">
        <v>3016</v>
      </c>
      <c r="N19" t="s">
        <v>3016</v>
      </c>
      <c r="O19" t="s">
        <v>3016</v>
      </c>
      <c r="P19" t="s">
        <v>3016</v>
      </c>
    </row>
    <row r="20" spans="2:16" x14ac:dyDescent="0.2">
      <c r="B20" t="s">
        <v>3246</v>
      </c>
      <c r="C20" t="s">
        <v>3224</v>
      </c>
      <c r="D20" t="s">
        <v>3019</v>
      </c>
      <c r="E20" t="s">
        <v>3016</v>
      </c>
      <c r="F20" t="s">
        <v>3016</v>
      </c>
      <c r="G20" t="s">
        <v>3016</v>
      </c>
      <c r="H20" t="s">
        <v>3016</v>
      </c>
      <c r="I20" t="s">
        <v>3016</v>
      </c>
      <c r="J20" t="s">
        <v>3016</v>
      </c>
      <c r="K20" t="s">
        <v>3016</v>
      </c>
      <c r="L20" t="s">
        <v>3016</v>
      </c>
      <c r="M20" t="s">
        <v>3016</v>
      </c>
      <c r="N20" t="s">
        <v>3016</v>
      </c>
      <c r="O20" t="s">
        <v>3016</v>
      </c>
      <c r="P20" t="s">
        <v>3016</v>
      </c>
    </row>
    <row r="21" spans="2:16" x14ac:dyDescent="0.2">
      <c r="B21" t="s">
        <v>3247</v>
      </c>
      <c r="C21" t="s">
        <v>3224</v>
      </c>
      <c r="D21" t="s">
        <v>3019</v>
      </c>
      <c r="E21" t="s">
        <v>3016</v>
      </c>
      <c r="F21" t="s">
        <v>3016</v>
      </c>
      <c r="G21" t="s">
        <v>3016</v>
      </c>
      <c r="H21" t="s">
        <v>3016</v>
      </c>
      <c r="O21" t="s">
        <v>3016</v>
      </c>
      <c r="P21" t="s">
        <v>3016</v>
      </c>
    </row>
    <row r="22" spans="2:16" x14ac:dyDescent="0.2">
      <c r="B22" t="s">
        <v>3248</v>
      </c>
      <c r="C22" t="s">
        <v>3229</v>
      </c>
      <c r="D22" t="s">
        <v>3019</v>
      </c>
      <c r="J22" t="s">
        <v>3016</v>
      </c>
      <c r="K22" t="s">
        <v>3016</v>
      </c>
      <c r="L22" t="s">
        <v>3016</v>
      </c>
      <c r="M22" t="s">
        <v>3016</v>
      </c>
    </row>
    <row r="23" spans="2:16" x14ac:dyDescent="0.2">
      <c r="B23" t="s">
        <v>3249</v>
      </c>
      <c r="C23" t="s">
        <v>3229</v>
      </c>
      <c r="D23" t="s">
        <v>3019</v>
      </c>
      <c r="E23" t="s">
        <v>3016</v>
      </c>
      <c r="F23" t="s">
        <v>3016</v>
      </c>
      <c r="G23" t="s">
        <v>3016</v>
      </c>
      <c r="H23" t="s">
        <v>3016</v>
      </c>
      <c r="I23" t="s">
        <v>3016</v>
      </c>
      <c r="J23" t="s">
        <v>3016</v>
      </c>
      <c r="K23" t="s">
        <v>3016</v>
      </c>
      <c r="L23" t="s">
        <v>3016</v>
      </c>
      <c r="M23" t="s">
        <v>3016</v>
      </c>
      <c r="N23" t="s">
        <v>3016</v>
      </c>
      <c r="O23" t="s">
        <v>3016</v>
      </c>
      <c r="P23" t="s">
        <v>3016</v>
      </c>
    </row>
    <row r="24" spans="2:16" x14ac:dyDescent="0.2">
      <c r="B24" t="s">
        <v>3250</v>
      </c>
      <c r="C24" t="s">
        <v>3229</v>
      </c>
      <c r="D24" t="s">
        <v>3019</v>
      </c>
      <c r="E24" t="s">
        <v>3016</v>
      </c>
      <c r="F24" t="s">
        <v>3016</v>
      </c>
      <c r="G24" t="s">
        <v>3016</v>
      </c>
      <c r="H24" t="s">
        <v>3016</v>
      </c>
      <c r="I24" t="s">
        <v>3016</v>
      </c>
      <c r="J24" t="s">
        <v>3016</v>
      </c>
      <c r="K24" t="s">
        <v>3016</v>
      </c>
      <c r="L24" t="s">
        <v>3016</v>
      </c>
      <c r="M24" t="s">
        <v>3016</v>
      </c>
      <c r="N24" t="s">
        <v>3016</v>
      </c>
      <c r="O24" t="s">
        <v>3016</v>
      </c>
      <c r="P24" t="s">
        <v>3016</v>
      </c>
    </row>
    <row r="25" spans="2:16" x14ac:dyDescent="0.2">
      <c r="B25" t="s">
        <v>3251</v>
      </c>
      <c r="C25" t="s">
        <v>3229</v>
      </c>
      <c r="D25" t="s">
        <v>3019</v>
      </c>
      <c r="I25" t="s">
        <v>3016</v>
      </c>
      <c r="J25" t="s">
        <v>3016</v>
      </c>
      <c r="K25" t="s">
        <v>3016</v>
      </c>
      <c r="L25" t="s">
        <v>3016</v>
      </c>
      <c r="M25" t="s">
        <v>3016</v>
      </c>
    </row>
    <row r="26" spans="2:16" x14ac:dyDescent="0.2">
      <c r="B26" t="s">
        <v>3252</v>
      </c>
      <c r="C26" t="s">
        <v>3238</v>
      </c>
      <c r="D26" t="s">
        <v>3019</v>
      </c>
      <c r="E26" t="s">
        <v>3016</v>
      </c>
      <c r="F26" t="s">
        <v>3016</v>
      </c>
      <c r="G26" t="s">
        <v>3016</v>
      </c>
      <c r="H26" t="s">
        <v>3016</v>
      </c>
      <c r="I26" t="s">
        <v>3016</v>
      </c>
      <c r="J26" t="s">
        <v>3016</v>
      </c>
      <c r="K26" t="s">
        <v>3016</v>
      </c>
      <c r="O26" t="s">
        <v>3016</v>
      </c>
      <c r="P26" t="s">
        <v>3016</v>
      </c>
    </row>
    <row r="27" spans="2:16" x14ac:dyDescent="0.2">
      <c r="B27" t="s">
        <v>3253</v>
      </c>
      <c r="C27" t="s">
        <v>3238</v>
      </c>
      <c r="D27" t="s">
        <v>3019</v>
      </c>
      <c r="E27" t="s">
        <v>3016</v>
      </c>
      <c r="F27" t="s">
        <v>3016</v>
      </c>
      <c r="G27" t="s">
        <v>3016</v>
      </c>
      <c r="H27" t="s">
        <v>3016</v>
      </c>
      <c r="O27" t="s">
        <v>3016</v>
      </c>
      <c r="P27" t="s">
        <v>3016</v>
      </c>
    </row>
    <row r="28" spans="2:16" x14ac:dyDescent="0.2">
      <c r="B28" t="s">
        <v>3254</v>
      </c>
      <c r="C28" t="s">
        <v>3229</v>
      </c>
      <c r="D28" t="s">
        <v>3019</v>
      </c>
      <c r="E28" t="s">
        <v>3016</v>
      </c>
      <c r="F28" t="s">
        <v>3016</v>
      </c>
      <c r="G28" t="s">
        <v>3016</v>
      </c>
      <c r="H28" t="s">
        <v>3016</v>
      </c>
      <c r="I28" t="s">
        <v>3016</v>
      </c>
      <c r="J28" t="s">
        <v>3016</v>
      </c>
      <c r="K28" t="s">
        <v>3016</v>
      </c>
      <c r="L28" t="s">
        <v>3016</v>
      </c>
      <c r="M28" t="s">
        <v>3016</v>
      </c>
      <c r="N28" t="s">
        <v>3016</v>
      </c>
      <c r="O28" t="s">
        <v>3016</v>
      </c>
      <c r="P28" t="s">
        <v>3016</v>
      </c>
    </row>
    <row r="29" spans="2:16" x14ac:dyDescent="0.2">
      <c r="B29" t="s">
        <v>3255</v>
      </c>
      <c r="C29" t="s">
        <v>3229</v>
      </c>
      <c r="D29" t="s">
        <v>3131</v>
      </c>
      <c r="E29" t="s">
        <v>3016</v>
      </c>
      <c r="F29" t="s">
        <v>3016</v>
      </c>
      <c r="M29" t="s">
        <v>3016</v>
      </c>
      <c r="N29" t="s">
        <v>3016</v>
      </c>
      <c r="O29" t="s">
        <v>3016</v>
      </c>
      <c r="P29" t="s">
        <v>3016</v>
      </c>
    </row>
    <row r="30" spans="2:16" x14ac:dyDescent="0.2">
      <c r="B30" t="s">
        <v>3256</v>
      </c>
      <c r="C30" t="s">
        <v>3229</v>
      </c>
      <c r="D30" t="s">
        <v>3131</v>
      </c>
      <c r="J30" t="s">
        <v>3016</v>
      </c>
      <c r="K30" t="s">
        <v>3016</v>
      </c>
      <c r="L30" t="s">
        <v>3016</v>
      </c>
      <c r="M30" t="s">
        <v>3016</v>
      </c>
    </row>
    <row r="31" spans="2:16" x14ac:dyDescent="0.2">
      <c r="B31" t="s">
        <v>3257</v>
      </c>
      <c r="C31" t="s">
        <v>3229</v>
      </c>
      <c r="D31" t="s">
        <v>3131</v>
      </c>
      <c r="E31" t="s">
        <v>3016</v>
      </c>
      <c r="F31" t="s">
        <v>3016</v>
      </c>
      <c r="G31" t="s">
        <v>3016</v>
      </c>
      <c r="H31" t="s">
        <v>3016</v>
      </c>
      <c r="I31" t="s">
        <v>3016</v>
      </c>
      <c r="L31" t="s">
        <v>3016</v>
      </c>
      <c r="M31" t="s">
        <v>3016</v>
      </c>
      <c r="N31" t="s">
        <v>3016</v>
      </c>
      <c r="O31" t="s">
        <v>3016</v>
      </c>
      <c r="P31" t="s">
        <v>3016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7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  <col min="3" max="3" width="44.6640625" customWidth="1"/>
    <col min="4" max="4" width="55.6640625" customWidth="1"/>
  </cols>
  <sheetData>
    <row r="1" spans="1:4" x14ac:dyDescent="0.2">
      <c r="A1" s="1" t="s">
        <v>2932</v>
      </c>
      <c r="B1" s="1" t="s">
        <v>55</v>
      </c>
      <c r="C1" s="1" t="s">
        <v>3258</v>
      </c>
      <c r="D1" s="1" t="s">
        <v>3259</v>
      </c>
    </row>
    <row r="2" spans="1:4" x14ac:dyDescent="0.2">
      <c r="B2" t="s">
        <v>3260</v>
      </c>
      <c r="C2" t="s">
        <v>3261</v>
      </c>
      <c r="D2" t="s">
        <v>3262</v>
      </c>
    </row>
    <row r="3" spans="1:4" x14ac:dyDescent="0.2">
      <c r="B3" t="s">
        <v>3263</v>
      </c>
      <c r="C3" t="s">
        <v>3264</v>
      </c>
      <c r="D3" t="s">
        <v>3265</v>
      </c>
    </row>
    <row r="4" spans="1:4" x14ac:dyDescent="0.2">
      <c r="B4" t="s">
        <v>3266</v>
      </c>
      <c r="C4" t="s">
        <v>3267</v>
      </c>
      <c r="D4" t="s">
        <v>3268</v>
      </c>
    </row>
    <row r="5" spans="1:4" x14ac:dyDescent="0.2">
      <c r="B5" t="s">
        <v>3269</v>
      </c>
      <c r="C5" t="s">
        <v>3267</v>
      </c>
      <c r="D5" t="s">
        <v>3268</v>
      </c>
    </row>
    <row r="6" spans="1:4" x14ac:dyDescent="0.2">
      <c r="B6" t="s">
        <v>3270</v>
      </c>
      <c r="C6" t="s">
        <v>3271</v>
      </c>
      <c r="D6" t="s">
        <v>3272</v>
      </c>
    </row>
    <row r="7" spans="1:4" x14ac:dyDescent="0.2">
      <c r="B7" t="s">
        <v>3273</v>
      </c>
      <c r="C7" t="s">
        <v>3274</v>
      </c>
      <c r="D7" t="s">
        <v>3275</v>
      </c>
    </row>
    <row r="8" spans="1:4" x14ac:dyDescent="0.2">
      <c r="B8" t="s">
        <v>3276</v>
      </c>
      <c r="C8" t="s">
        <v>3267</v>
      </c>
      <c r="D8" t="s">
        <v>3268</v>
      </c>
    </row>
    <row r="9" spans="1:4" x14ac:dyDescent="0.2">
      <c r="B9" t="s">
        <v>3277</v>
      </c>
      <c r="C9" t="s">
        <v>3267</v>
      </c>
      <c r="D9" t="s">
        <v>3268</v>
      </c>
    </row>
    <row r="10" spans="1:4" x14ac:dyDescent="0.2">
      <c r="B10" t="s">
        <v>3278</v>
      </c>
      <c r="C10" t="s">
        <v>3279</v>
      </c>
      <c r="D10" t="s">
        <v>3280</v>
      </c>
    </row>
    <row r="11" spans="1:4" x14ac:dyDescent="0.2">
      <c r="B11" t="s">
        <v>3281</v>
      </c>
      <c r="C11" t="s">
        <v>3282</v>
      </c>
      <c r="D11" t="s">
        <v>3283</v>
      </c>
    </row>
    <row r="12" spans="1:4" x14ac:dyDescent="0.2">
      <c r="B12" t="s">
        <v>3284</v>
      </c>
      <c r="C12" t="s">
        <v>3267</v>
      </c>
      <c r="D12" t="s">
        <v>3268</v>
      </c>
    </row>
    <row r="13" spans="1:4" x14ac:dyDescent="0.2">
      <c r="B13" t="s">
        <v>3285</v>
      </c>
      <c r="C13" t="s">
        <v>3286</v>
      </c>
      <c r="D13" t="s">
        <v>3287</v>
      </c>
    </row>
    <row r="14" spans="1:4" x14ac:dyDescent="0.2">
      <c r="B14" t="s">
        <v>3288</v>
      </c>
      <c r="C14" t="s">
        <v>3289</v>
      </c>
      <c r="D14" t="s">
        <v>3290</v>
      </c>
    </row>
    <row r="15" spans="1:4" x14ac:dyDescent="0.2">
      <c r="B15" t="s">
        <v>3291</v>
      </c>
      <c r="C15" t="s">
        <v>3267</v>
      </c>
      <c r="D15" t="s">
        <v>3268</v>
      </c>
    </row>
    <row r="16" spans="1:4" x14ac:dyDescent="0.2">
      <c r="B16" t="s">
        <v>3292</v>
      </c>
      <c r="C16" t="s">
        <v>3267</v>
      </c>
      <c r="D16" t="s">
        <v>3268</v>
      </c>
    </row>
    <row r="17" spans="2:4" x14ac:dyDescent="0.2">
      <c r="B17" t="s">
        <v>3293</v>
      </c>
      <c r="C17" t="s">
        <v>3267</v>
      </c>
      <c r="D17" t="s">
        <v>3268</v>
      </c>
    </row>
    <row r="18" spans="2:4" x14ac:dyDescent="0.2">
      <c r="B18" t="s">
        <v>3294</v>
      </c>
      <c r="C18" t="s">
        <v>3295</v>
      </c>
      <c r="D18" t="s">
        <v>3296</v>
      </c>
    </row>
    <row r="19" spans="2:4" x14ac:dyDescent="0.2">
      <c r="B19" t="s">
        <v>3297</v>
      </c>
      <c r="C19" t="s">
        <v>3298</v>
      </c>
      <c r="D19" t="s">
        <v>3299</v>
      </c>
    </row>
    <row r="20" spans="2:4" x14ac:dyDescent="0.2">
      <c r="B20" t="s">
        <v>3300</v>
      </c>
      <c r="C20" t="s">
        <v>3267</v>
      </c>
      <c r="D20" t="s">
        <v>3268</v>
      </c>
    </row>
    <row r="21" spans="2:4" x14ac:dyDescent="0.2">
      <c r="B21" t="s">
        <v>3301</v>
      </c>
      <c r="C21" t="s">
        <v>3302</v>
      </c>
      <c r="D21" t="s">
        <v>3303</v>
      </c>
    </row>
    <row r="22" spans="2:4" x14ac:dyDescent="0.2">
      <c r="B22" t="s">
        <v>3304</v>
      </c>
      <c r="C22" t="s">
        <v>3305</v>
      </c>
      <c r="D22" t="s">
        <v>3306</v>
      </c>
    </row>
    <row r="23" spans="2:4" x14ac:dyDescent="0.2">
      <c r="B23" t="s">
        <v>3307</v>
      </c>
      <c r="C23" t="s">
        <v>3308</v>
      </c>
      <c r="D23" t="s">
        <v>3309</v>
      </c>
    </row>
    <row r="24" spans="2:4" x14ac:dyDescent="0.2">
      <c r="B24" t="s">
        <v>3310</v>
      </c>
      <c r="C24" t="s">
        <v>3267</v>
      </c>
      <c r="D24" t="s">
        <v>3268</v>
      </c>
    </row>
    <row r="25" spans="2:4" x14ac:dyDescent="0.2">
      <c r="B25" t="s">
        <v>3311</v>
      </c>
      <c r="C25" t="s">
        <v>3312</v>
      </c>
      <c r="D25" t="s">
        <v>3313</v>
      </c>
    </row>
    <row r="26" spans="2:4" x14ac:dyDescent="0.2">
      <c r="B26" t="s">
        <v>3314</v>
      </c>
      <c r="C26" t="s">
        <v>3315</v>
      </c>
      <c r="D26" t="s">
        <v>3316</v>
      </c>
    </row>
    <row r="27" spans="2:4" x14ac:dyDescent="0.2">
      <c r="B27" t="s">
        <v>3317</v>
      </c>
      <c r="C27" t="s">
        <v>3267</v>
      </c>
      <c r="D27" t="s">
        <v>3268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22.6640625" customWidth="1"/>
  </cols>
  <sheetData>
    <row r="1" spans="1:2" x14ac:dyDescent="0.2">
      <c r="A1" s="1" t="s">
        <v>3318</v>
      </c>
      <c r="B1" s="1" t="s">
        <v>3319</v>
      </c>
    </row>
    <row r="2" spans="1:2" x14ac:dyDescent="0.2">
      <c r="B2" s="2" t="s">
        <v>3320</v>
      </c>
    </row>
    <row r="3" spans="1:2" x14ac:dyDescent="0.2">
      <c r="B3" t="s">
        <v>3321</v>
      </c>
    </row>
    <row r="4" spans="1:2" x14ac:dyDescent="0.2">
      <c r="B4" t="s">
        <v>3322</v>
      </c>
    </row>
    <row r="5" spans="1:2" x14ac:dyDescent="0.2">
      <c r="B5" t="s">
        <v>3323</v>
      </c>
    </row>
    <row r="6" spans="1:2" x14ac:dyDescent="0.2">
      <c r="B6" t="s">
        <v>3324</v>
      </c>
    </row>
    <row r="7" spans="1:2" x14ac:dyDescent="0.2">
      <c r="B7" t="s">
        <v>3325</v>
      </c>
    </row>
    <row r="8" spans="1:2" x14ac:dyDescent="0.2">
      <c r="B8" t="s">
        <v>3326</v>
      </c>
    </row>
    <row r="9" spans="1:2" x14ac:dyDescent="0.2">
      <c r="B9" t="s">
        <v>3327</v>
      </c>
    </row>
    <row r="10" spans="1:2" x14ac:dyDescent="0.2">
      <c r="B10" t="s">
        <v>3328</v>
      </c>
    </row>
    <row r="11" spans="1:2" x14ac:dyDescent="0.2">
      <c r="B11" t="s">
        <v>3329</v>
      </c>
    </row>
    <row r="12" spans="1:2" x14ac:dyDescent="0.2">
      <c r="B12" t="s">
        <v>3330</v>
      </c>
    </row>
    <row r="13" spans="1:2" x14ac:dyDescent="0.2">
      <c r="B13" t="s">
        <v>3331</v>
      </c>
    </row>
    <row r="14" spans="1:2" x14ac:dyDescent="0.2">
      <c r="B14" t="s">
        <v>3332</v>
      </c>
    </row>
    <row r="15" spans="1:2" x14ac:dyDescent="0.2">
      <c r="B15" t="s">
        <v>3333</v>
      </c>
    </row>
    <row r="16" spans="1:2" x14ac:dyDescent="0.2">
      <c r="B16" t="s">
        <v>3334</v>
      </c>
    </row>
    <row r="17" spans="2:2" x14ac:dyDescent="0.2">
      <c r="B17" t="s">
        <v>3335</v>
      </c>
    </row>
    <row r="18" spans="2:2" x14ac:dyDescent="0.2">
      <c r="B18" t="s">
        <v>3336</v>
      </c>
    </row>
    <row r="19" spans="2:2" x14ac:dyDescent="0.2">
      <c r="B19" t="s">
        <v>3337</v>
      </c>
    </row>
    <row r="20" spans="2:2" x14ac:dyDescent="0.2">
      <c r="B20" t="s">
        <v>3338</v>
      </c>
    </row>
    <row r="21" spans="2:2" x14ac:dyDescent="0.2">
      <c r="B21" t="s">
        <v>3339</v>
      </c>
    </row>
    <row r="22" spans="2:2" x14ac:dyDescent="0.2">
      <c r="B22" t="s">
        <v>3340</v>
      </c>
    </row>
    <row r="23" spans="2:2" x14ac:dyDescent="0.2">
      <c r="B23" t="s">
        <v>3341</v>
      </c>
    </row>
    <row r="24" spans="2:2" x14ac:dyDescent="0.2">
      <c r="B24" t="s">
        <v>3342</v>
      </c>
    </row>
    <row r="25" spans="2:2" x14ac:dyDescent="0.2">
      <c r="B25" t="s">
        <v>3343</v>
      </c>
    </row>
    <row r="26" spans="2:2" x14ac:dyDescent="0.2">
      <c r="B26" t="s">
        <v>3344</v>
      </c>
    </row>
    <row r="27" spans="2:2" x14ac:dyDescent="0.2">
      <c r="B27" t="s">
        <v>3345</v>
      </c>
    </row>
    <row r="28" spans="2:2" x14ac:dyDescent="0.2">
      <c r="B28" t="s">
        <v>3346</v>
      </c>
    </row>
    <row r="29" spans="2:2" x14ac:dyDescent="0.2">
      <c r="B29" t="s">
        <v>3347</v>
      </c>
    </row>
    <row r="30" spans="2:2" x14ac:dyDescent="0.2">
      <c r="B30" t="s">
        <v>3348</v>
      </c>
    </row>
    <row r="31" spans="2:2" x14ac:dyDescent="0.2">
      <c r="B31" t="s">
        <v>3349</v>
      </c>
    </row>
    <row r="32" spans="2:2" x14ac:dyDescent="0.2">
      <c r="B32" t="s">
        <v>3350</v>
      </c>
    </row>
    <row r="33" spans="2:2" x14ac:dyDescent="0.2">
      <c r="B33" t="s">
        <v>3351</v>
      </c>
    </row>
    <row r="34" spans="2:2" x14ac:dyDescent="0.2">
      <c r="B34" t="s">
        <v>3352</v>
      </c>
    </row>
    <row r="35" spans="2:2" x14ac:dyDescent="0.2">
      <c r="B35" t="s">
        <v>3353</v>
      </c>
    </row>
    <row r="36" spans="2:2" x14ac:dyDescent="0.2">
      <c r="B36" t="s">
        <v>3354</v>
      </c>
    </row>
    <row r="37" spans="2:2" x14ac:dyDescent="0.2">
      <c r="B37" t="s">
        <v>3355</v>
      </c>
    </row>
    <row r="38" spans="2:2" x14ac:dyDescent="0.2">
      <c r="B38" t="s">
        <v>3356</v>
      </c>
    </row>
    <row r="39" spans="2:2" x14ac:dyDescent="0.2">
      <c r="B39" t="s">
        <v>3357</v>
      </c>
    </row>
    <row r="40" spans="2:2" x14ac:dyDescent="0.2">
      <c r="B40" t="s">
        <v>3358</v>
      </c>
    </row>
    <row r="41" spans="2:2" x14ac:dyDescent="0.2">
      <c r="B41" t="s">
        <v>3359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Stats</vt:lpstr>
      <vt:lpstr>Turnips</vt:lpstr>
      <vt:lpstr>Furniture</vt:lpstr>
      <vt:lpstr>Wallpapers</vt:lpstr>
      <vt:lpstr>Carpets</vt:lpstr>
      <vt:lpstr>Tops</vt:lpstr>
      <vt:lpstr>Bottoms</vt:lpstr>
      <vt:lpstr>Dresses</vt:lpstr>
      <vt:lpstr>Hats</vt:lpstr>
      <vt:lpstr>Accessories</vt:lpstr>
      <vt:lpstr>Footwear</vt:lpstr>
      <vt:lpstr>Umbrellas</vt:lpstr>
      <vt:lpstr>Paper</vt:lpstr>
      <vt:lpstr>Songs</vt:lpstr>
      <vt:lpstr>Gyroids</vt:lpstr>
      <vt:lpstr>Fossils</vt:lpstr>
      <vt:lpstr>Bugs</vt:lpstr>
      <vt:lpstr>Fish</vt:lpstr>
      <vt:lpstr>Seafood</vt:lpstr>
      <vt:lpstr>Paintings</vt:lpstr>
      <vt:lpstr>Emotions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</dc:creator>
  <cp:keywords/>
  <dc:description/>
  <cp:lastModifiedBy>Jason Bartz</cp:lastModifiedBy>
  <cp:revision/>
  <dcterms:created xsi:type="dcterms:W3CDTF">2013-08-20T15:31:55Z</dcterms:created>
  <dcterms:modified xsi:type="dcterms:W3CDTF">2026-02-26T19:26:04Z</dcterms:modified>
  <cp:category/>
  <cp:contentStatus/>
</cp:coreProperties>
</file>